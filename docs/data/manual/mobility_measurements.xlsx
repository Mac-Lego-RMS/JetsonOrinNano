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_Plan" sheetId="2" state="visible" r:id="rId4"/>
    <sheet name="Quick_Guide" sheetId="3" state="visible" r:id="rId5"/>
    <sheet name="Mass_CoG" sheetId="4" state="visible" r:id="rId6"/>
    <sheet name="Steering_Target_Actual" sheetId="5" state="visible" r:id="rId7"/>
    <sheet name="Ackermann_CAD" sheetId="6" state="visible" r:id="rId8"/>
    <sheet name="Radius_v" sheetId="7" state="visible" r:id="rId9"/>
    <sheet name="Drivetrain" sheetId="8" state="visible" r:id="rId10"/>
    <sheet name="Grip_Tipping" sheetId="9" state="visible" r:id="rId11"/>
    <sheet name="Step_Log" sheetId="10" state="visible" r:id="rId12"/>
  </sheets>
  <calcPr iterateCount="100" refMode="A1" iterate="false" iterateDelta="0.0001" fullCalcOnLoad="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66" authorId="0">
      <text>
        <r>
          <rPr>
            <sz val="10"/>
            <rFont val="Arial"/>
            <family val="2"/>
          </rPr>
          <t xml:space="preserve">Formula: h = r + L·(m_f,tilted − m_f)/(m·tanθ). Secure the robot against rolling when raising it (motor blocked); steering straight.</t>
        </r>
      </text>
    </comment>
    <comment ref="E44" authorId="0">
      <text>
        <r>
          <rPr>
            <sz val="10"/>
            <rFont val="Arial"/>
            <family val="2"/>
          </rPr>
          <t xml:space="preserve">Estimated position in CAD coordinates (e.g. centre of the cable bundles on top of the PCB).</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Target = linear assumption 0.45°/% (±45° at ±100 %).</t>
        </r>
      </text>
    </comment>
    <comment ref="N11" authorId="0">
      <text>
        <r>
          <rPr>
            <sz val="10"/>
            <rFont val="Arial"/>
            <family val="2"/>
          </rPr>
          <t xml:space="preserve">Ideal outer angle from the measured inner angle: cot δo = cot δi + k/L. The Ackermann error is the measured outer angle minus this ideal.</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J6" authorId="0">
      <text>
        <r>
          <rPr>
            <sz val="10"/>
            <rFont val="Arial"/>
            <family val="2"/>
          </rPr>
          <t xml:space="preserve">Takes the statically measured bicycle steering angle for the same steering command from the sheet Steering_Target_Actual (the steering command must be entered identically).</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5" authorId="0">
      <text>
        <r>
          <rPr>
            <sz val="10"/>
            <rFont val="Arial"/>
            <family val="2"/>
          </rPr>
          <t xml:space="preserve">Example: 11 pulses × 15.4 gearbox × 4 (quadrature) × 1 = 677.6.</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Mean of the last 10 samples: the run should last long enough for v to be constant.</t>
        </r>
      </text>
    </comment>
  </commentList>
</comments>
</file>

<file path=xl/sharedStrings.xml><?xml version="1.0" encoding="utf-8"?>
<sst xmlns="http://schemas.openxmlformats.org/spreadsheetml/2006/main" count="879" uniqueCount="660">
  <si>
    <t xml:space="preserve">Test Plan &amp; Measurement Series, Chapter 2 – Napoleon (Chassis Vertikal v36/v38)</t>
  </si>
  <si>
    <t xml:space="preserve">MäcLEGO · WRO Future Engineers · Zagreb 2026</t>
  </si>
  <si>
    <t xml:space="preserve">Translated by Claude (Anthropic)</t>
  </si>
  <si>
    <t xml:space="preserve">Legend</t>
  </si>
  <si>
    <t xml:space="preserve">Yellow background, blue font = input (measured value or parameter). Only fill in these cells.</t>
  </si>
  <si>
    <t xml:space="preserve">Light blue background = formula, calculates automatically.</t>
  </si>
  <si>
    <t xml:space="preserve">Grey, italic = example row showing the format. Not used in any calculation.</t>
  </si>
  <si>
    <t xml:space="preserve">Orange background = values from the previous documentation/Excel (for comparison).</t>
  </si>
  <si>
    <t xml:space="preserve">Vehicle coordinate system (all sheets)</t>
  </si>
  <si>
    <t xml:space="preserve">Origin: centre of the rear axle, at ground level. x forward, y to the left, z up, all in mm.</t>
  </si>
  <si>
    <t xml:space="preserve">The CAD coordinates come from Chassis_Vertikal.step (Fusion export 24.09.2026, assembly “Chassis Vertikal v36”) and are converted automatically in the sheet Mass_CoG.</t>
  </si>
  <si>
    <t xml:space="preserve">Geometry read from the STEP file</t>
  </si>
  <si>
    <t xml:space="preserve">Wheelbase L = 102.0 mm (front kingpin axis to rear axle). Track width front 97.2 mm, rear 96.2 mm. Kingpin distance (steering pivots) k = 59.3 mm.</t>
  </si>
  <si>
    <t xml:space="preserve">Lowest point: tie-rod end, approx. 2.0 mm above ground – matches the stated 2.1 mm.</t>
  </si>
  <si>
    <t xml:space="preserve">CAD finding 1: the right rear wheel sits 0.8 mm further forward than the axle (x = 67.8 instead of 68.6 mm). Probably a joint offset; please check in Fusion.</t>
  </si>
  <si>
    <t xml:space="preserve">CAD finding 2: in the model the front wheels sit 0.8 mm lower than the rear wheels, so the model is tilted forward by approx. 0.45°. Negligible for the CoG, but should be corrected for clean figures.</t>
  </si>
  <si>
    <t xml:space="preserve">Body: the rows “Body VW T1” and “Camera Picam360” in Mass_CoG come from VW_T1_Hull.step. The CoG is calculated with and without the body. Without the body the camera sits in its holder; if you drive like that, adjust its position in columns E–G.</t>
  </si>
  <si>
    <t xml:space="preserve">Order</t>
  </si>
  <si>
    <t xml:space="preserve">1. Read the sheet Test_Plan (priority A first).</t>
  </si>
  <si>
    <t xml:space="preserve">2. For the practical procedure of each test: sheet Quick_Guide.</t>
  </si>
  <si>
    <t xml:space="preserve">3. Fill in Mass_CoG: weigh every component while disassembling. The monocoque can be taken apart with max. 2 screws per part, which is ideal for this.</t>
  </si>
  <si>
    <t xml:space="preserve">4. Then Steering_Target_Actual, Radius_v, Grip_Tipping, Drivetrain and Step_Log.</t>
  </si>
  <si>
    <t xml:space="preserve">5. Send all raw data (CSV, rosbag exports, photos). This is also listed as a to-do in the Test_Plan.</t>
  </si>
  <si>
    <t xml:space="preserve">Test plan – what to measure</t>
  </si>
  <si>
    <t xml:space="preserve">Priority A = key figures of the documentation and input for the software · B = clearly strengthens the documentation · C = nice to have</t>
  </si>
  <si>
    <t xml:space="preserve">ID</t>
  </si>
  <si>
    <t xml:space="preserve">Prio</t>
  </si>
  <si>
    <t xml:space="preserve">Test</t>
  </si>
  <si>
    <t xml:space="preserve">Goal / documentation section</t>
  </si>
  <si>
    <t xml:space="preserve">Setup &amp; equipment</t>
  </si>
  <si>
    <t xml:space="preserve">Procedure</t>
  </si>
  <si>
    <t xml:space="preserve">Result → sheet</t>
  </si>
  <si>
    <t xml:space="preserve">Status</t>
  </si>
  <si>
    <t xml:space="preserve">T01</t>
  </si>
  <si>
    <t xml:space="preserve">A</t>
  </si>
  <si>
    <t xml:space="preserve">Masses of all components</t>
  </si>
  <si>
    <t xml:space="preserve">2.0 Key figures, basis for CoG, traction, τ</t>
  </si>
  <si>
    <t xml:space="preserve">Precision scale (0.1 g)</t>
  </si>
  <si>
    <t xml:space="preserve">Weigh the robot ready to drive (with battery), then disassemble and weigh every component listed in Mass_CoG individually. The sum must match the total mass within ±2 %.</t>
  </si>
  <si>
    <t xml:space="preserve">Mass_CoG</t>
  </si>
  <si>
    <t xml:space="preserve">done</t>
  </si>
  <si>
    <t xml:space="preserve">T02</t>
  </si>
  <si>
    <t xml:space="preserve">Axle loads &amp; centre of gravity (scale/tilt method)</t>
  </si>
  <si>
    <t xml:space="preserve">2.1.2 CoG x/y/z, axle load distribution</t>
  </si>
  <si>
    <t xml:space="preserve">2 identical kitchen scales (or 1 scale + block of equal height), wooden blocks/spacers of known height</t>
  </si>
  <si>
    <t xml:space="preserve">Front axle on scale A, rear axle on a support of equal height → m_front. Then the other way round → m_rear. Same for left/right. Tilt test: raise the rear axle by 20–30 mm and measure the front axle load again → z_CoG. Repeat every measurement 3×.</t>
  </si>
  <si>
    <t xml:space="preserve">T03</t>
  </si>
  <si>
    <t xml:space="preserve">Fusion CoG with effective densities</t>
  </si>
  <si>
    <t xml:space="preserve">2.1.7 Validation of the digital twin</t>
  </si>
  <si>
    <t xml:space="preserve">Fusion: physical properties</t>
  </si>
  <si>
    <t xml:space="preserve">Mass from T01 divided by CAD volume gives the effective density (listed in Mass_CoG). Create a separate material with this density for each part; Fusion then shows the CoG. Important: FDM parts with 12 % infill are much lighter than solid material, so do not use the standard PLA density.</t>
  </si>
  <si>
    <t xml:space="preserve">done (Fusion)</t>
  </si>
  <si>
    <t xml:space="preserve">T04</t>
  </si>
  <si>
    <t xml:space="preserve">Encoder calibration / effective wheel diameter</t>
  </si>
  <si>
    <t xml:space="preserve">2.3.6 and software (m/s calibration)</t>
  </si>
  <si>
    <t xml:space="preserve">Tape measure, tape markings, encoder log</t>
  </si>
  <si>
    <t xml:space="preserve">Drive 2.00 m straight slowly, log encoder counts, 5× per direction. This gives counts per metre and the effective wheel diameter under load (the silicone deforms).</t>
  </si>
  <si>
    <t xml:space="preserve">Drivetrain</t>
  </si>
  <si>
    <t xml:space="preserve">T05</t>
  </si>
  <si>
    <t xml:space="preserve">Static steering angles target/actual incl. hysteresis</t>
  </si>
  <si>
    <t xml:space="preserve">2.2.4 Measurement series (successor of the old table)</t>
  </si>
  <si>
    <t xml:space="preserve">Robot on the stand, protractor or photo from directly above + evaluation (e.g. Kinovea/GIMP)</t>
  </si>
  <si>
    <t xml:space="preserve">Move to 9 steering commands from full left to full right, once approaching from the left (forward) and once from the right (return). Measure the left AND right wheel angle each time; this gives the Ackermann check on the real robot.</t>
  </si>
  <si>
    <t xml:space="preserve">Steering_Target_Actual</t>
  </si>
  <si>
    <t xml:space="preserve">T06</t>
  </si>
  <si>
    <t xml:space="preserve">Turning radius per steering command + turning circle</t>
  </si>
  <si>
    <t xml:space="preserve">2.2.5, 2.0 turning circle, steering LUT</t>
  </si>
  <si>
    <t xml:space="preserve">Field, log IMU yaw rate + encoder speed, tape measure as a check</t>
  </si>
  <si>
    <t xml:space="preserve">Drive 2 full circles with a constant steering command and slowly (approx. 0.2 m/s). R = v / ψ̇. For 1–2 commands also measure the circle diameter directly (marker under the rear-axle centre or video from above). Drive both directions. Full lock gives the turning circle.</t>
  </si>
  <si>
    <t xml:space="preserve">Radius_v</t>
  </si>
  <si>
    <t xml:space="preserve">T07</t>
  </si>
  <si>
    <t xml:space="preserve">Step response &amp; top speed</t>
  </si>
  <si>
    <t xml:space="preserve">2.3.3 τ, v_max (replaces the old theory)</t>
  </si>
  <si>
    <t xml:space="preserve">Encoder log at a high rate (≥ 50 Hz), straight track ≥ 2 m</t>
  </si>
  <si>
    <t xml:space="preserve">From standstill, step to 100 % PWM (and to competition PWM). Measure once with a full battery (16.8 V) and once at nominal voltage (~14.8 V). Copy the columns t and v as CSV into the sheet Step_Log.</t>
  </si>
  <si>
    <t xml:space="preserve">Step_Log / Drivetrain</t>
  </si>
  <si>
    <t xml:space="preserve">T08</t>
  </si>
  <si>
    <t xml:space="preserve">Friction coefficient of the silicone tyres (longitudinal/lateral, clean/dusty)</t>
  </si>
  <si>
    <t xml:space="preserve">2.3.6 Tyres, traction and cornering limit</t>
  </si>
  <si>
    <t xml:space="preserve">Board with a piece of field mat, protractor/phone inclination app</t>
  </si>
  <si>
    <t xml:space="preserve">Place the robot on the mat and tilt the board slowly until it slides. μ = tan α. Lateral: robot placed sideways. Longitudinal: wheels blocked (the motor holds them through the gearbox). 5× clean and 5× after 3 runs without cleaning each. If still available: LEGO Spike tyres for comparison.</t>
  </si>
  <si>
    <t xml:space="preserve">Grip_Tipping</t>
  </si>
  <si>
    <t xml:space="preserve">T09</t>
  </si>
  <si>
    <t xml:space="preserve">B</t>
  </si>
  <si>
    <t xml:space="preserve">Radius vs. speed (understeer)</t>
  </si>
  <si>
    <t xml:space="preserve">2.2.5 Understeer gradient, steering LUT</t>
  </si>
  <si>
    <t xml:space="preserve">as T06</t>
  </si>
  <si>
    <t xml:space="preserve">Repeat T06 for 3–4 steering commands at 0.2 / 0.4 / 0.6 / 0.8 m/s. This shows how strongly the robot understeers with lateral acceleration.</t>
  </si>
  <si>
    <t xml:space="preserve">T10</t>
  </si>
  <si>
    <t xml:space="preserve">Stall torque &amp; stall current</t>
  </si>
  <si>
    <t xml:space="preserve">2.3.3 Motor characteristic</t>
  </si>
  <si>
    <t xml:space="preserve">Lever arm (e.g. 50 mm rod on the shaft), kitchen scale, lab power supply with current display</t>
  </si>
  <si>
    <t xml:space="preserve">Fix the robot at 12 V, the lever presses on the scale, apply full voltage briefly (&lt; 2 s). M = F·r. Read the current. Do not stall any longer, otherwise the motor and the brass bevel gears suffer.</t>
  </si>
  <si>
    <t xml:space="preserve">not measurable – traction limit (journal 3.1.7.2)</t>
  </si>
  <si>
    <t xml:space="preserve">T11</t>
  </si>
  <si>
    <t xml:space="preserve">Braking distance &amp; coast-down test</t>
  </si>
  <si>
    <t xml:space="preserve">2.3.3 Braking behaviour, rolling resistance</t>
  </si>
  <si>
    <t xml:space="preserve">Encoder log</t>
  </si>
  <si>
    <t xml:space="preserve">Drive at competition speed, then (a) brake actively and (b) set PWM to 0 and let it coast. Read distance and time from the log.</t>
  </si>
  <si>
    <t xml:space="preserve">T12</t>
  </si>
  <si>
    <t xml:space="preserve">Tyre diameter &amp; straight-line running</t>
  </si>
  <si>
    <t xml:space="preserve">2.3.6 Silicone tyres, rigid axle</t>
  </si>
  <si>
    <t xml:space="preserve">Caliper, 3 m straight</t>
  </si>
  <si>
    <t xml:space="preserve">Measure every tyre at 3 positions (runout). Without a differential, a diameter difference at the rear acts like a steering input. Then drive 3 m straight with steering at 0 and measure the lateral deviation.</t>
  </si>
  <si>
    <t xml:space="preserve">T13</t>
  </si>
  <si>
    <t xml:space="preserve">Servo step response / steering speed</t>
  </si>
  <si>
    <t xml:space="preserve">2.2.6 Steering dynamics</t>
  </si>
  <si>
    <t xml:space="preserve">Log SC09 position feedback via the bus</t>
  </si>
  <si>
    <t xml:space="preserve">Step from 0 to full lock and back, recording the actual position over time. Gives actuation time and overshoot.</t>
  </si>
  <si>
    <t xml:space="preserve">T14</t>
  </si>
  <si>
    <t xml:space="preserve">LiDAR self-occlusion / usable FOV</t>
  </si>
  <si>
    <t xml:space="preserve">2.1.5 Sensor integration</t>
  </si>
  <si>
    <t xml:space="preserve">Robot in the middle of a ring of walls or boxes</t>
  </si>
  <si>
    <t xml:space="preserve">Record one scan and count all angles where the distance is below approx. 80 mm (= own chassis/PCB). Usable FOV = 360° minus these angles. Once with and once without the body.</t>
  </si>
  <si>
    <t xml:space="preserve">(documentation figure)</t>
  </si>
  <si>
    <t xml:space="preserve">open</t>
  </si>
  <si>
    <t xml:space="preserve">T15</t>
  </si>
  <si>
    <t xml:space="preserve">C</t>
  </si>
  <si>
    <t xml:space="preserve">Tolerance test piece FDM vs. SLA</t>
  </si>
  <si>
    <t xml:space="preserve">2.1.3 Fits 0.22 / 0.3 / 0.08</t>
  </si>
  <si>
    <t xml:space="preserve">Print a row of holes (e.g. Ø3 with +0.00…+0.30), ball bearing, M2 screw</t>
  </si>
  <si>
    <t xml:space="preserve">Check at which oversize the bearing fits snugly or with a press fit. Backs up the chosen parameters with data.</t>
  </si>
  <si>
    <t xml:space="preserve">(documentation table)</t>
  </si>
  <si>
    <t xml:space="preserve">T16</t>
  </si>
  <si>
    <t xml:space="preserve">FEA C-profile old vs. v54</t>
  </si>
  <si>
    <t xml:space="preserve">2.1.4 / iterations (fracture at the mounting)</t>
  </si>
  <si>
    <t xml:space="preserve">Fusion 360, static stress analysis</t>
  </si>
  <si>
    <t xml:space="preserve">Same load case for the old (broken) and the new version, e.g. 3× wheel load as a lateral force at the wheel. Evaluate only comparatively, because infill and anisotropy distort the absolute values.</t>
  </si>
  <si>
    <t xml:space="preserve">T17</t>
  </si>
  <si>
    <t xml:space="preserve">Silicone tyres: mass, hardness, reproducibility</t>
  </si>
  <si>
    <t xml:space="preserve">2.3.6 Tyre subsection</t>
  </si>
  <si>
    <t xml:space="preserve">Scale, Shore A tester if available, caliper</t>
  </si>
  <si>
    <t xml:space="preserve">Compare several casts (mass, diameter, bubbles). Ask the supplier for material data.</t>
  </si>
  <si>
    <t xml:space="preserve">T19</t>
  </si>
  <si>
    <t xml:space="preserve">Body VW T1: mass, pogo contact, influence on CoG and LiDAR</t>
  </si>
  <si>
    <t xml:space="preserve">2.1.6 Body (new subsection)</t>
  </si>
  <si>
    <t xml:space="preserve">Precision scale, body with LEDs and camera</t>
  </si>
  <si>
    <t xml:space="preserve">Weigh the body, mount and remove it 10× (is the contact via the pogo pins reliable?), CoG with/without body (T02 twice), LiDAR FOV with/without (T14).</t>
  </si>
  <si>
    <t xml:space="preserve">T18</t>
  </si>
  <si>
    <t xml:space="preserve">Maintainability: assembly times</t>
  </si>
  <si>
    <t xml:space="preserve">2.1.3 Maintainability</t>
  </si>
  <si>
    <t xml:space="preserve">Stopwatch</t>
  </si>
  <si>
    <t xml:space="preserve">Time battery change, motor swap, servo swap and full assembly (estimated 40–60 min) once for real.</t>
  </si>
  <si>
    <t xml:space="preserve">Resulting calculations</t>
  </si>
  <si>
    <t xml:space="preserve">Calculation</t>
  </si>
  <si>
    <t xml:space="preserve">Purpose</t>
  </si>
  <si>
    <t xml:space="preserve">Input</t>
  </si>
  <si>
    <t xml:space="preserve">Formula / method</t>
  </si>
  <si>
    <t xml:space="preserve">Sheet</t>
  </si>
  <si>
    <t xml:space="preserve">R01</t>
  </si>
  <si>
    <t xml:space="preserve">Centre of gravity x/y/z (CAD and real)</t>
  </si>
  <si>
    <t xml:space="preserve">CoG comparison old/new, tipping limit, traction</t>
  </si>
  <si>
    <t xml:space="preserve">T01, T02</t>
  </si>
  <si>
    <t xml:space="preserve">x = Σ(m·x)/Σm; scales: x = L·m_f/m, z = r + L·Δm_f/(m·tanθ)</t>
  </si>
  <si>
    <t xml:space="preserve">R02</t>
  </si>
  <si>
    <t xml:space="preserve">Ackermann analysis over the full steering range</t>
  </si>
  <si>
    <t xml:space="preserve">2.2.3: substantiate or refine “100 % Ackermann”</t>
  </si>
  <si>
    <t xml:space="preserve">CAD points (done), T05</t>
  </si>
  <si>
    <t xml:space="preserve">Linkage vs. ideal: cot δo − cot δi = k/L</t>
  </si>
  <si>
    <t xml:space="preserve">Ackermann_CAD</t>
  </si>
  <si>
    <t xml:space="preserve">R03</t>
  </si>
  <si>
    <t xml:space="preserve">Minimum turning radius / turning circle</t>
  </si>
  <si>
    <t xml:space="preserve">2.0, parking challenge</t>
  </si>
  <si>
    <t xml:space="preserve">R02, T06</t>
  </si>
  <si>
    <t xml:space="preserve">R = L/tan δ + k/2 or measured v/ψ̇</t>
  </si>
  <si>
    <t xml:space="preserve">Ackermann_CAD / Radius_v</t>
  </si>
  <si>
    <t xml:space="preserve">R04</t>
  </si>
  <si>
    <t xml:space="preserve">Theoretical vs. measured top speed</t>
  </si>
  <si>
    <t xml:space="preserve">2.3.3 (replaces the old v_max calculation)</t>
  </si>
  <si>
    <t xml:space="preserve">Data sheet, T04, T07</t>
  </si>
  <si>
    <t xml:space="preserve">v = n·π·d/60, n ~ U (no load, linear)</t>
  </si>
  <si>
    <t xml:space="preserve">R05</t>
  </si>
  <si>
    <t xml:space="preserve">Time constant τ from measurement</t>
  </si>
  <si>
    <t xml:space="preserve">2.3.3 (replaces the theoretical τ)</t>
  </si>
  <si>
    <t xml:space="preserve">t at 63.2 % of the final speed</t>
  </si>
  <si>
    <t xml:space="preserve">Step_Log</t>
  </si>
  <si>
    <t xml:space="preserve">R06</t>
  </si>
  <si>
    <t xml:space="preserve">Traction limit of rear-wheel drive vs. motor limit</t>
  </si>
  <si>
    <t xml:space="preserve">2.3.3: what limits acceleration?</t>
  </si>
  <si>
    <t xml:space="preserve">R01, T08, T10</t>
  </si>
  <si>
    <t xml:space="preserve">a_grip = μ·g·(l_f/L)/(1 − μ·h/L); a_motor = M·i/(r·m)</t>
  </si>
  <si>
    <t xml:space="preserve">R07</t>
  </si>
  <si>
    <t xml:space="preserve">Wheel slip caused by the rigid rear axle</t>
  </si>
  <si>
    <t xml:space="preserve">2.3.5: reason for understeer, trade-off “no differential”</t>
  </si>
  <si>
    <t xml:space="preserve">Track width, R</t>
  </si>
  <si>
    <t xml:space="preserve">Slip per rear wheel ≈ ± T/(2R)</t>
  </si>
  <si>
    <t xml:space="preserve">R08</t>
  </si>
  <si>
    <t xml:space="preserve">Cornering speed limit</t>
  </si>
  <si>
    <t xml:space="preserve">2.3.6, software target speed</t>
  </si>
  <si>
    <t xml:space="preserve">v_max(R) = √(μ_lat·g·R)</t>
  </si>
  <si>
    <t xml:space="preserve">R09</t>
  </si>
  <si>
    <t xml:space="preserve">Tipping vs. sliding limit</t>
  </si>
  <si>
    <t xml:space="preserve">2.3.6 Stability (successor of “CoG 10 mm lower”)</t>
  </si>
  <si>
    <t xml:space="preserve">R01, T08</t>
  </si>
  <si>
    <t xml:space="preserve">a_tip = g·(T/2)/h; never tips if μ &lt; T/(2h)</t>
  </si>
  <si>
    <t xml:space="preserve">R10</t>
  </si>
  <si>
    <t xml:space="preserve">Understeer gradient</t>
  </si>
  <si>
    <t xml:space="preserve">2.2.5</t>
  </si>
  <si>
    <t xml:space="preserve">δ_stat − δ_eff = K·a_y → slope K in °/(m/s²)</t>
  </si>
  <si>
    <t xml:space="preserve">R11</t>
  </si>
  <si>
    <t xml:space="preserve">Encoder resolution in mm/count</t>
  </si>
  <si>
    <t xml:space="preserve">2.3, software</t>
  </si>
  <si>
    <t xml:space="preserve">s / N</t>
  </si>
  <si>
    <t xml:space="preserve">R12</t>
  </si>
  <si>
    <t xml:space="preserve">Rolling resistance, braking deceleration</t>
  </si>
  <si>
    <t xml:space="preserve">2.3.3</t>
  </si>
  <si>
    <t xml:space="preserve">c_r = a_coast/g; a_brake = v²/(2s)</t>
  </si>
  <si>
    <t xml:space="preserve">R13</t>
  </si>
  <si>
    <t xml:space="preserve">Comparison table old ↔ new</t>
  </si>
  <si>
    <t xml:space="preserve">Start of chapter</t>
  </si>
  <si>
    <t xml:space="preserve">everything</t>
  </si>
  <si>
    <t xml:space="preserve">Mass, dimensions, wheelbase, steering angle, turning circle, play, v_max, τ, CoG</t>
  </si>
  <si>
    <t xml:space="preserve">(documentation)</t>
  </si>
  <si>
    <t xml:space="preserve">To-do: send data and material</t>
  </si>
  <si>
    <t xml:space="preserve">☐</t>
  </si>
  <si>
    <t xml:space="preserve">All measurement data as CSV or this Excel filled in (encoder, IMU, PI controller target/actual, motor current if measurable)</t>
  </si>
  <si>
    <t xml:space="preserve">rosbag extracts of tests T04, T06, T07, T09, T11 as CSV (ros2 bag → CSV, e.g. via Foxglove export)</t>
  </si>
  <si>
    <t xml:space="preserve">Ask for silicone material data (manufacturer, Shore hardness, mixing ratio, pot life) and release agent</t>
  </si>
  <si>
    <t xml:space="preserve">Photos: tyre casting (mould, funnel, finished tyre), broken C-profiles / worn FDM ball heads, old robot from the same perspective</t>
  </si>
  <si>
    <t xml:space="preserve">Exploded view from Fusion (title image of the chapter) and screenshots of the steering straight ahead / full lock from above</t>
  </si>
  <si>
    <t xml:space="preserve">Data sheet or shop data for motor 25GA370 (1000 RPM @ 12 V): confirm no-load current, stall current, rated torque, gearbox 15.4:1, encoder pulses per revolution</t>
  </si>
  <si>
    <t xml:space="preserve">Fusion: CoG value after T03 (screenshot “Properties”)</t>
  </si>
  <si>
    <t xml:space="preserve">Quick guide – how to run the tests</t>
  </si>
  <si>
    <t xml:space="preserve">Practical steps only: prepare the robot, place it, let it drive, read the values. The last column says where the values go.</t>
  </si>
  <si>
    <t xml:space="preserve">Prepare the robot</t>
  </si>
  <si>
    <t xml:space="preserve">Place / position</t>
  </si>
  <si>
    <t xml:space="preserve">Drive / procedure</t>
  </si>
  <si>
    <t xml:space="preserve">Measure &amp; record</t>
  </si>
  <si>
    <t xml:space="preserve">How often</t>
  </si>
  <si>
    <t xml:space="preserve">Enter in</t>
  </si>
  <si>
    <t xml:space="preserve">Weighing</t>
  </si>
  <si>
    <t xml:space="preserve">Full battery in, body on, as in competition. Do not let cables hang off the table.</t>
  </si>
  <si>
    <t xml:space="preserve">Place it in the middle of the precision scale; tare the scale to 0 beforehand.</t>
  </si>
  <si>
    <t xml:space="preserve">–</t>
  </si>
  <si>
    <t xml:space="preserve">First weigh the complete robot, then remove the body and weigh again. Then unscrew part by part and weigh each one individually. Collect the screws per assembly and weigh them together. Weigh cables/Velcro together at the end.</t>
  </si>
  <si>
    <t xml:space="preserve">Total 3×, single parts 1×</t>
  </si>
  <si>
    <t xml:space="preserve">Mass_CoG, column K</t>
  </si>
  <si>
    <t xml:space="preserve">Axle loads &amp; centre of gravity</t>
  </si>
  <si>
    <t xml:space="preserve">Ready to drive with battery and body. Steering straight, motor off (the gearbox holds the rear wheels).</t>
  </si>
  <si>
    <t xml:space="preserve">Two scales of equal height next to each other. If you only have one, use a book/block of exactly the same height instead of the second (check with a caliper). (1) Front wheels on scale A, rear wheels on scale B. (2) Turn the robot sideways: left wheels on A, right wheels on B. (3) Tilt: front wheels on the scale, a block of 20–30 mm height under both rear wheels.</t>
  </si>
  <si>
    <t xml:space="preserve">(1) Load front and rear. (2) Load left and right. (3) Front load in the tilted state plus the exact block height. Check beforehand that front + rear roughly equals the total weight.</t>
  </si>
  <si>
    <t xml:space="preserve">Each position 3×, re-place every time</t>
  </si>
  <si>
    <t xml:space="preserve">Mass_CoG, scale block</t>
  </si>
  <si>
    <t xml:space="preserve">Fusion centre of gravity</t>
  </si>
  <si>
    <t xml:space="preserve">No robot needed; finish T01 first.</t>
  </si>
  <si>
    <t xml:space="preserve">Fusion: open Napoleon.</t>
  </si>
  <si>
    <t xml:space="preserve">Create a separate material for each part (copy material) and enter the density from column O of Mass_CoG. Then open the properties of the top-level component.</t>
  </si>
  <si>
    <t xml:space="preserve">Write down mass and CoG x/y/z (in Fusion coordinates) and take a screenshot. Once with, once without the body component.</t>
  </si>
  <si>
    <t xml:space="preserve">1× with, 1× without body</t>
  </si>
  <si>
    <t xml:space="preserve">Send screenshot</t>
  </si>
  <si>
    <t xml:space="preserve">Encoder distance</t>
  </si>
  <si>
    <t xml:space="preserve">Full battery, steering straight, logging on: encoder counts with time.</t>
  </si>
  <si>
    <t xml:space="preserve">Straight track on the mat. Start line with tape, finish line 2.00 m further (with tape measure). Place the robot so that the rear axle is exactly above the start line.</t>
  </si>
  <si>
    <t xml:space="preserve">Drive straight slowly (approx. 0.2–0.3 m/s) and stop just after the finish line.</t>
  </si>
  <si>
    <t xml:space="preserve">Measure with the tape how far the rear axle actually travelled (start to stop position). Record the encoder counts for exactly this run.</t>
  </si>
  <si>
    <t xml:space="preserve">5× forward, 5× in the opposite direction</t>
  </si>
  <si>
    <t xml:space="preserve">Drivetrain, encoder table</t>
  </si>
  <si>
    <t xml:space="preserve">Steering angle at standstill</t>
  </si>
  <si>
    <t xml:space="preserve">Robot on the stand, front wheels free in the air. Stick a straight stick or ruler to the outside of each front wheel (as a pointer, not on the tread).</t>
  </si>
  <si>
    <t xml:space="preserve">Phone exactly vertical above the front axle (tripod or stack of books), always the same position. A straight chassis edge must be in the picture; it is the zero line.</t>
  </si>
  <si>
    <t xml:space="preserve">Forward: send steering commands step by step from full left to full right (9 steps), one photo per step. Return: the same from full right back to full left.</t>
  </si>
  <si>
    <t xml:space="preserve">Read the angle of the left and right wheel against the chassis edge from each photo (e.g. with GIMP, Kinovea or a protractor app). Positive = to the left. Note the steering command.</t>
  </si>
  <si>
    <t xml:space="preserve">Each step forward + return</t>
  </si>
  <si>
    <t xml:space="preserve">Driving circles</t>
  </si>
  <si>
    <t xml:space="preserve">Full battery, body on. Logging: IMU yaw rate and encoder speed. Control off, fixed steering command only.</t>
  </si>
  <si>
    <t xml:space="preserve">Free spot in the middle of the mat. Mark the position of the rear-axle centre at the start with a piece of tape.</t>
  </si>
  <si>
    <t xml:space="preserve">Set a fixed steering command and drive slowly (0.2 m/s) at constant speed, two full circles. If the circle is larger than the mat: drive as far as there is room, at least half a circle. Once to the left, once to the right.</t>
  </si>
  <si>
    <t xml:space="preserve">Stop after exactly half a lap and mark the rear-axle centre again. The distance between the two marks is the circle diameter. Send the log (v and yaw rate). Full lock = turning circle.</t>
  </si>
  <si>
    <t xml:space="preserve">All 9 steering steps, left + right each</t>
  </si>
  <si>
    <t xml:space="preserve">Full throttle from standstill</t>
  </si>
  <si>
    <t xml:space="preserve">Program: from standstill immediately 100 % PWM for approx. 1.5 s, then brake. Logging at at least 50 Hz: time and speed (current if measurable).</t>
  </si>
  <si>
    <t xml:space="preserve">Longest free straight on the mat, steering straight. Someone to catch the robot at the end, or a soft obstacle.</t>
  </si>
  <si>
    <t xml:space="preserve">Start, let it drive, brake. Once with a freshly charged battery (approx. 16.8 V), once at approx. 14.8 V. If possible, also with the competition PWM.</t>
  </si>
  <si>
    <t xml:space="preserve">Copy the log as CSV (columns t and v) into Step_Log. Note the battery voltage before the start.</t>
  </si>
  <si>
    <t xml:space="preserve">3× per battery state</t>
  </si>
  <si>
    <t xml:space="preserve">Sliding board</t>
  </si>
  <si>
    <t xml:space="preserve">Firmly cover a board (min. 40 cm) with a piece of field mat. Place a phone with an inclination app on the board. Robot ready to drive, motor off.</t>
  </si>
  <si>
    <t xml:space="preserve">Lateral: place the robot sideways on the board (wheels across the slope). Longitudinal: robot pointing downhill; fix the front wheels to the C-profile with tape beforehand (not on the tread). The gearbox holds the rear wheels.</t>
  </si>
  <si>
    <t xml:space="preserve">Raise the board slowly and evenly until the robot starts to slide. If it tips instead: stop immediately and note it!</t>
  </si>
  <si>
    <t xml:space="preserve">Read the angle at the moment it slides. Once with freshly cleaned tyres, once after 3 runs without cleaning. If still available: LEGO Spike tyres for comparison.</t>
  </si>
  <si>
    <t xml:space="preserve">5× per variant</t>
  </si>
  <si>
    <t xml:space="preserve">Faster circles</t>
  </si>
  <si>
    <t xml:space="preserve">As T06.</t>
  </si>
  <si>
    <t xml:space="preserve">As T06; leave enough room all around.</t>
  </si>
  <si>
    <t xml:space="preserve">3–4 fixed steering steps, each at 0.2 / 0.4 / 0.6 / 0.8 m/s. As soon as it slides or reaches the wall: stop and note at which speed.</t>
  </si>
  <si>
    <t xml:space="preserve">Send the logs (v, yaw rate). At high speeds the log is enough; no tape measure needed.</t>
  </si>
  <si>
    <t xml:space="preserve">1–2× per combination</t>
  </si>
  <si>
    <t xml:space="preserve">Stalling with a lever</t>
  </si>
  <si>
    <t xml:space="preserve">Clamp or tie a ruler/rod firmly to a rear wheel (pointing radially outwards). Motor directly on the lab power supply: 12 V, current limit e.g. 3 A.</t>
  </si>
  <si>
    <t xml:space="preserve">Hold the robot on its back or side with a clamp. The end of the lever rests on a kitchen scale. Measure the distance from the axle centre to the contact point on the scale.</t>
  </si>
  <si>
    <t xml:space="preserve">Apply voltage briefly (under 2 s!) so that the lever presses on the scale, then switch off immediately. 30 s pause between measurements.</t>
  </si>
  <si>
    <t xml:space="preserve">Record the scale reading in grams, the current on the power supply and the lever distance in mm.</t>
  </si>
  <si>
    <t xml:space="preserve">3×</t>
  </si>
  <si>
    <t xml:space="preserve">Drivetrain (B16/B17)</t>
  </si>
  <si>
    <t xml:space="preserve">Braking &amp; coasting</t>
  </si>
  <si>
    <t xml:space="preserve">Logging: time, speed, distance travelled.</t>
  </si>
  <si>
    <t xml:space="preserve">Long straight. Mark the braking point with tape or set it in the code to a fixed distance.</t>
  </si>
  <si>
    <t xml:space="preserve">Accelerate to competition speed. At the braking point (a) give the brake command, (b) only set PWM to 0 and let it coast.</t>
  </si>
  <si>
    <t xml:space="preserve">Measure the distance from the braking point to standstill (rear axle) with the tape, plus the speed at the start of braking from the log.</t>
  </si>
  <si>
    <t xml:space="preserve">3× each</t>
  </si>
  <si>
    <t xml:space="preserve">Drivetrain, braking block</t>
  </si>
  <si>
    <t xml:space="preserve">Measure tyres &amp; straight line</t>
  </si>
  <si>
    <t xml:space="preserve">Clean the tyres. For the run: steering at 0, LiDAR/IMU control OFF (only let it drive straight).</t>
  </si>
  <si>
    <t xml:space="preserve">Tyres: with the caliper, each at 3 positions (rotate by a third each time). Run: stretch a string or tape measure straight over 3 m, place the rear-axle centre at its start and align the robot parallel to the string.</t>
  </si>
  <si>
    <t xml:space="preserve">Drive 3 m straight slowly.</t>
  </si>
  <si>
    <t xml:space="preserve">Measure the lateral deviation of the rear-axle centre from the string at the end (left = +). Also weigh each tyre individually.</t>
  </si>
  <si>
    <t xml:space="preserve">Run 3× forward, 3× back</t>
  </si>
  <si>
    <t xml:space="preserve">Grip_Tipping, tyre block</t>
  </si>
  <si>
    <t xml:space="preserve">Steering step</t>
  </si>
  <si>
    <t xml:space="preserve">Robot on the stand. Log the actual position of the SC09 via the bus as fast as possible, with time stamps.</t>
  </si>
  <si>
    <t xml:space="preserve">Centre → full left → wait 1 s → centre → full right → centre.</t>
  </si>
  <si>
    <t xml:space="preserve">CSV with time, target and actual position.</t>
  </si>
  <si>
    <t xml:space="preserve">Steering_Target_Actual, bottom</t>
  </si>
  <si>
    <t xml:space="preserve">LiDAR field of view</t>
  </si>
  <si>
    <t xml:space="preserve">LiDAR running, rosbag for /scan on.</t>
  </si>
  <si>
    <t xml:space="preserve">Robot in the middle of a closed ring of boxes/crates, approx. 30–50 cm clearance all around.</t>
  </si>
  <si>
    <t xml:space="preserve">Robot stands still; record a few seconds. Once with, once without the body.</t>
  </si>
  <si>
    <t xml:space="preserve">Send the rosbag or the scan as CSV; it is evaluated afterwards.</t>
  </si>
  <si>
    <t xml:space="preserve">send</t>
  </si>
  <si>
    <t xml:space="preserve">Tolerance blocks</t>
  </si>
  <si>
    <t xml:space="preserve">Print test pieces with a row of holes (FDM and SLA), e.g. Ø 3 mm from +0.00 to +0.30 mm in 0.02 steps and a row for the Ø 8 ball bearing.</t>
  </si>
  <si>
    <t xml:space="preserve">Try the ball bearing, metal axle and an M2 screw in every hole.</t>
  </si>
  <si>
    <t xml:space="preserve">Record per hole: does not fit / press fit / snug / loose.</t>
  </si>
  <si>
    <t xml:space="preserve">1× per printer</t>
  </si>
  <si>
    <t xml:space="preserve">FEA C-profile</t>
  </si>
  <si>
    <t xml:space="preserve">No robot, Fusion only.</t>
  </si>
  <si>
    <t xml:space="preserve">Open the old (broken) version and v54.</t>
  </si>
  <si>
    <t xml:space="preserve">Study “static stress”, same fixture and same force at the wheel for both (e.g. 5 N lateral).</t>
  </si>
  <si>
    <t xml:space="preserve">Screenshots of the stress at the mounting holes, record the maximum stress.</t>
  </si>
  <si>
    <t xml:space="preserve">1× per version</t>
  </si>
  <si>
    <t xml:space="preserve">Screenshots</t>
  </si>
  <si>
    <t xml:space="preserve">Compare silicone tyres</t>
  </si>
  <si>
    <t xml:space="preserve">Several tyres from different casts.</t>
  </si>
  <si>
    <t xml:space="preserve">Weigh each one, measure the diameter, note bubbles and defects. Ask the supplier for material data (name, Shore hardness, mixing ratio).</t>
  </si>
  <si>
    <t xml:space="preserve">All available tyres</t>
  </si>
  <si>
    <t xml:space="preserve">Assembly times</t>
  </si>
  <si>
    <t xml:space="preserve">Prepare tools, stopwatch.</t>
  </si>
  <si>
    <t xml:space="preserve">Carry out battery change, motor swap, servo swap, body off/on and full assembly once for real.</t>
  </si>
  <si>
    <t xml:space="preserve">Record the times.</t>
  </si>
  <si>
    <t xml:space="preserve">1× per procedure</t>
  </si>
  <si>
    <t xml:space="preserve">Body</t>
  </si>
  <si>
    <t xml:space="preserve">Body with LEDs and built-in camera, robot ready to drive.</t>
  </si>
  <si>
    <t xml:space="preserve">Robot on the table.</t>
  </si>
  <si>
    <t xml:space="preserve">Remove and refit the body 10× and check each time whether the LEDs and camera work immediately (pogo pins). Then drive 3 normal runs and watch whether the contact breaks or the body wobbles.</t>
  </si>
  <si>
    <t xml:space="preserve">Mass of the body with LEDs (camera separately), the time to fit it and how often the contact was not there immediately. Photos with and without body from the same perspective.</t>
  </si>
  <si>
    <t xml:space="preserve">Fit 10×, 3 runs</t>
  </si>
  <si>
    <t xml:space="preserve">Mass_CoG + photos</t>
  </si>
  <si>
    <t xml:space="preserve">Masses &amp; centre of gravity (CoG)</t>
  </si>
  <si>
    <t xml:space="preserve">CAD centroids from Chassis_Vertikal.step (volume centroid per part) · masses measured with a precision scale</t>
  </si>
  <si>
    <t xml:space="preserve">Reference points (CAD coordinates in mm)</t>
  </si>
  <si>
    <t xml:space="preserve">x rear axle (CAD)</t>
  </si>
  <si>
    <t xml:space="preserve">Axis of the D-shaft</t>
  </si>
  <si>
    <t xml:space="preserve">y vehicle centre (CAD)</t>
  </si>
  <si>
    <t xml:space="preserve">Centre between the rear wheels</t>
  </si>
  <si>
    <t xml:space="preserve">z ground (CAD)</t>
  </si>
  <si>
    <t xml:space="preserve">Bottom edge of the rear wheels</t>
  </si>
  <si>
    <t xml:space="preserve">Wheelbase L</t>
  </si>
  <si>
    <t xml:space="preserve">Kingpin axis to rear axle</t>
  </si>
  <si>
    <t xml:space="preserve">Track width rear T</t>
  </si>
  <si>
    <t xml:space="preserve">Wheel centre to wheel centre</t>
  </si>
  <si>
    <t xml:space="preserve">Wheel radius r</t>
  </si>
  <si>
    <t xml:space="preserve">Ø 32 mm</t>
  </si>
  <si>
    <t xml:space="preserve">Component</t>
  </si>
  <si>
    <t xml:space="preserve">Group</t>
  </si>
  <si>
    <t xml:space="preserve">Material / type</t>
  </si>
  <si>
    <t xml:space="preserve">CAD volume [cm³]</t>
  </si>
  <si>
    <t xml:space="preserve">x CAD</t>
  </si>
  <si>
    <t xml:space="preserve">y CAD</t>
  </si>
  <si>
    <t xml:space="preserve">z CAD</t>
  </si>
  <si>
    <t xml:space="preserve">x veh [mm] (forward +)</t>
  </si>
  <si>
    <t xml:space="preserve">y veh [mm] (left +)</t>
  </si>
  <si>
    <t xml:space="preserve">z veh [mm] (up +)</t>
  </si>
  <si>
    <t xml:space="preserve">Measured mass [g]</t>
  </si>
  <si>
    <t xml:space="preserve">m·x</t>
  </si>
  <si>
    <t xml:space="preserve">m·y</t>
  </si>
  <si>
    <t xml:space="preserve">m·z</t>
  </si>
  <si>
    <t xml:space="preserve">eff. density [g/cm³] → Fusion</t>
  </si>
  <si>
    <t xml:space="preserve">Example: battery 4S 450 mAh</t>
  </si>
  <si>
    <t xml:space="preserve">Energy</t>
  </si>
  <si>
    <t xml:space="preserve">Purchased part</t>
  </si>
  <si>
    <t xml:space="preserve">LiDAR Slamtec RPLiDAR S3</t>
  </si>
  <si>
    <t xml:space="preserve">Sensors</t>
  </si>
  <si>
    <t xml:space="preserve">Steering servo Waveshare SC09</t>
  </si>
  <si>
    <t xml:space="preserve">Steering</t>
  </si>
  <si>
    <t xml:space="preserve">Front / steering carrier (body)</t>
  </si>
  <si>
    <t xml:space="preserve">Structure</t>
  </si>
  <si>
    <t xml:space="preserve">FDM PLA Matte</t>
  </si>
  <si>
    <t xml:space="preserve">C-profile left incl. bearing</t>
  </si>
  <si>
    <t xml:space="preserve">SLA ABS-Like Pro 2</t>
  </si>
  <si>
    <t xml:space="preserve">C-profile right incl. bearing</t>
  </si>
  <si>
    <t xml:space="preserve">Connector / tie rod</t>
  </si>
  <si>
    <t xml:space="preserve">Metal/SLA</t>
  </si>
  <si>
    <t xml:space="preserve">Servo horn</t>
  </si>
  <si>
    <t xml:space="preserve">Tie-rod end 1</t>
  </si>
  <si>
    <t xml:space="preserve">Tie-rod end 2</t>
  </si>
  <si>
    <t xml:space="preserve">Connector helper</t>
  </si>
  <si>
    <t xml:space="preserve">SLA</t>
  </si>
  <si>
    <t xml:space="preserve">Pogo-pin plate</t>
  </si>
  <si>
    <t xml:space="preserve">Purchased part/FDM</t>
  </si>
  <si>
    <t xml:space="preserve">Front wheel left (rim+silicone)</t>
  </si>
  <si>
    <t xml:space="preserve">Wheels</t>
  </si>
  <si>
    <t xml:space="preserve">PA6-CF + silicone</t>
  </si>
  <si>
    <t xml:space="preserve">Front wheel right (rim+silicone)</t>
  </si>
  <si>
    <t xml:space="preserve">Small parts steering (screws, nuts, rivets)</t>
  </si>
  <si>
    <t xml:space="preserve">Small parts</t>
  </si>
  <si>
    <t xml:space="preserve">Steel</t>
  </si>
  <si>
    <t xml:space="preserve">Jetson carrier Seeed A603</t>
  </si>
  <si>
    <t xml:space="preserve">Electronics</t>
  </si>
  <si>
    <t xml:space="preserve">Jetson Orin Nano module + heat sink/fan</t>
  </si>
  <si>
    <t xml:space="preserve">MainPCB (ESP32-S3)</t>
  </si>
  <si>
    <t xml:space="preserve">In-house</t>
  </si>
  <si>
    <t xml:space="preserve">Drive motor 25GA370 incl. encoder</t>
  </si>
  <si>
    <t xml:space="preserve">Bevel gear motor (brass)</t>
  </si>
  <si>
    <t xml:space="preserve">Brass</t>
  </si>
  <si>
    <t xml:space="preserve">Bevel gear axle (brass)</t>
  </si>
  <si>
    <t xml:space="preserve">Rear axle D-shaft</t>
  </si>
  <si>
    <t xml:space="preserve">Battery Ovonic 4S 450 mAh</t>
  </si>
  <si>
    <t xml:space="preserve">IMU Adafruit BNO055</t>
  </si>
  <si>
    <t xml:space="preserve">Chassis / base plate (monocoque)</t>
  </si>
  <si>
    <t xml:space="preserve">Rear wheel left (rim+silicone)</t>
  </si>
  <si>
    <t xml:space="preserve">Rear wheel right (rim+silicone)</t>
  </si>
  <si>
    <t xml:space="preserve">Screws chassis/motor</t>
  </si>
  <si>
    <t xml:space="preserve">Camera Picam360 (in the body)</t>
  </si>
  <si>
    <t xml:space="preserve">Body VW T1 (shell, incl. LEDs/pogo counterpart)</t>
  </si>
  <si>
    <t xml:space="preserve">3D print</t>
  </si>
  <si>
    <t xml:space="preserve">Cables, Velcro, other (not in CAD)</t>
  </si>
  <si>
    <t xml:space="preserve">Other</t>
  </si>
  <si>
    <t xml:space="preserve">Result, CAD method (sum of single masses)</t>
  </si>
  <si>
    <t xml:space="preserve">without body</t>
  </si>
  <si>
    <t xml:space="preserve">with body (competition)</t>
  </si>
  <si>
    <t xml:space="preserve">Σ mass [g]</t>
  </si>
  <si>
    <t xml:space="preserve">x_CoG ahead of rear axle [mm]</t>
  </si>
  <si>
    <t xml:space="preserve">y_CoG left of centre [mm]</t>
  </si>
  <si>
    <t xml:space="preserve">z_CoG above ground [mm]</t>
  </si>
  <si>
    <t xml:space="preserve">Front axle load [%]</t>
  </si>
  <si>
    <t xml:space="preserve">Share weighed (components with mass)</t>
  </si>
  <si>
    <t xml:space="preserve">Scale &amp; tilt method (real validation)</t>
  </si>
  <si>
    <t xml:space="preserve">Total mass ready to drive [g]</t>
  </si>
  <si>
    <t xml:space="preserve">Front axle load [g]</t>
  </si>
  <si>
    <t xml:space="preserve">Rear axle load [g]</t>
  </si>
  <si>
    <t xml:space="preserve">Left side load [g]</t>
  </si>
  <si>
    <t xml:space="preserve">Right side load [g]</t>
  </si>
  <si>
    <t xml:space="preserve">Rear axle raised by Δh [mm]</t>
  </si>
  <si>
    <t xml:space="preserve">Front axle load with rear raised [g]</t>
  </si>
  <si>
    <t xml:space="preserve">Check: front + rear − total [g]</t>
  </si>
  <si>
    <t xml:space="preserve">Tilt angle θ [°]</t>
  </si>
  <si>
    <t xml:space="preserve">Comparison CAD ↔ scale</t>
  </si>
  <si>
    <t xml:space="preserve">Quantity</t>
  </si>
  <si>
    <t xml:space="preserve">CAD method (with body)</t>
  </si>
  <si>
    <t xml:space="preserve">Scale (competition state)</t>
  </si>
  <si>
    <t xml:space="preserve">Deviation</t>
  </si>
  <si>
    <t xml:space="preserve">Mass [g]</t>
  </si>
  <si>
    <t xml:space="preserve">x_CoG [mm]</t>
  </si>
  <si>
    <t xml:space="preserve">y_CoG [mm]</t>
  </si>
  <si>
    <t xml:space="preserve">z_CoG [mm]</t>
  </si>
  <si>
    <t xml:space="preserve">Steering target/actual – static measurement series (successor of table 1 / graph 1)</t>
  </si>
  <si>
    <t xml:space="preserve">Robot on the stand, wheels free. Angle positive = to the left. Forward = position approached from the left, Return = approached from the right.</t>
  </si>
  <si>
    <t xml:space="preserve">Parameter</t>
  </si>
  <si>
    <t xml:space="preserve">Wheelbase L [mm]</t>
  </si>
  <si>
    <t xml:space="preserve">Kingpin distance k [mm]</t>
  </si>
  <si>
    <t xml:space="preserve">from STEP (rivet pivots)</t>
  </si>
  <si>
    <t xml:space="preserve">Servo centre / stops [°]</t>
  </si>
  <si>
    <t xml:space="preserve">15.69 / +83.62 / −82.16</t>
  </si>
  <si>
    <t xml:space="preserve">Pos</t>
  </si>
  <si>
    <t xml:space="preserve">Steering command (software unit)</t>
  </si>
  <si>
    <t xml:space="preserve">Target steering angle δ_target [°] (bicycle)</t>
  </si>
  <si>
    <t xml:space="preserve">Left wheel forward [°]</t>
  </si>
  <si>
    <t xml:space="preserve">Left wheel return [°]</t>
  </si>
  <si>
    <t xml:space="preserve">Right wheel forward [°]</t>
  </si>
  <si>
    <t xml:space="preserve">Right wheel return [°]</t>
  </si>
  <si>
    <t xml:space="preserve">Left wheel mean [°]</t>
  </si>
  <si>
    <t xml:space="preserve">Right wheel mean [°]</t>
  </si>
  <si>
    <t xml:space="preserve">δ_actual bicycle [°]</t>
  </si>
  <si>
    <t xml:space="preserve">Deviation δ_actual − δ_target [°]</t>
  </si>
  <si>
    <t xml:space="preserve">Hysteresis left [°]</t>
  </si>
  <si>
    <t xml:space="preserve">Hysteresis right [°]</t>
  </si>
  <si>
    <t xml:space="preserve">δ_outer ideal [°]</t>
  </si>
  <si>
    <t xml:space="preserve">Ackermann error [°]</t>
  </si>
  <si>
    <t xml:space="preserve">Ex.</t>
  </si>
  <si>
    <t xml:space="preserve">Pos1</t>
  </si>
  <si>
    <t xml:space="preserve">Pos2</t>
  </si>
  <si>
    <t xml:space="preserve">Pos3</t>
  </si>
  <si>
    <t xml:space="preserve">Pos4</t>
  </si>
  <si>
    <t xml:space="preserve">Pos5</t>
  </si>
  <si>
    <t xml:space="preserve">Pos6</t>
  </si>
  <si>
    <t xml:space="preserve">Pos7</t>
  </si>
  <si>
    <t xml:space="preserve">Pos8</t>
  </si>
  <si>
    <t xml:space="preserve">Pos9</t>
  </si>
  <si>
    <t xml:space="preserve">Key figures</t>
  </si>
  <si>
    <t xml:space="preserve">Max. hysteresis (play) [°]</t>
  </si>
  <si>
    <t xml:space="preserve">Mean |deviation| [°]</t>
  </si>
  <si>
    <t xml:space="preserve">Max. |deviation| [°]</t>
  </si>
  <si>
    <t xml:space="preserve">Previous measurement series for comparison (from Messreihen_Motor_Servo.xlsx)</t>
  </si>
  <si>
    <t xml:space="preserve">Target [°]</t>
  </si>
  <si>
    <t xml:space="preserve">LEGO forward</t>
  </si>
  <si>
    <t xml:space="preserve">LEGO return</t>
  </si>
  <si>
    <t xml:space="preserve">Direct forward</t>
  </si>
  <si>
    <t xml:space="preserve">Direct return</t>
  </si>
  <si>
    <t xml:space="preserve">LEGO hysteresis</t>
  </si>
  <si>
    <t xml:space="preserve">Direct hysteresis</t>
  </si>
  <si>
    <t xml:space="preserve">Servo step response (T13)</t>
  </si>
  <si>
    <t xml:space="preserve">t [s]</t>
  </si>
  <si>
    <t xml:space="preserve">Target position</t>
  </si>
  <si>
    <t xml:space="preserve">Actual position (SC09 feedback)</t>
  </si>
  <si>
    <t xml:space="preserve">Ackermann analysis from CAD (R02/R03)</t>
  </si>
  <si>
    <t xml:space="preserve">δ_outer (linkage) = calculated numerically from the CAD joint points (four-bar: knuckle – steering arm – tie rod). At 58° inner this gives 36.5° outer, which matches the Fusion values (58° / 36°).</t>
  </si>
  <si>
    <t xml:space="preserve">Steering arm length [mm]</t>
  </si>
  <si>
    <t xml:space="preserve">Steering arm angle left [°]</t>
  </si>
  <si>
    <t xml:space="preserve">Steering arm angle right [°]</t>
  </si>
  <si>
    <t xml:space="preserve">Ideal steering arm angle atan(k/2 / L) [°]</t>
  </si>
  <si>
    <t xml:space="preserve">Tie-rod length (joint distance) [mm]</t>
  </si>
  <si>
    <t xml:space="preserve">Result: the arm angles (15.3° / 16.0°) are almost exactly at the ideal value of 16.2°. By the classic design rule this is ≈ 100 % Ackermann. Over the full steering range, however, the linkage deviates: up to approx. 45° the outer wheel steers slightly too far (below 100 %), near full lock too little (above 100 %).</t>
  </si>
  <si>
    <t xml:space="preserve">δ_inner [°]</t>
  </si>
  <si>
    <t xml:space="preserve">δ_outer linkage, left turn [°]</t>
  </si>
  <si>
    <t xml:space="preserve">δ_outer linkage, right turn [°]</t>
  </si>
  <si>
    <t xml:space="preserve">Linkage − ideal error [°]</t>
  </si>
  <si>
    <t xml:space="preserve">Ackermann % (local)</t>
  </si>
  <si>
    <t xml:space="preserve">R rear-axle centre from inner wheel [mm]</t>
  </si>
  <si>
    <t xml:space="preserve">R from outer wheel [mm]</t>
  </si>
  <si>
    <t xml:space="preserve">Spread of the radii [mm]</t>
  </si>
  <si>
    <t xml:space="preserve">Theoretical turning circle (full lock, no slip)</t>
  </si>
  <si>
    <t xml:space="preserve">R rear-axle centre at 58° inner [mm]</t>
  </si>
  <si>
    <t xml:space="preserve">Radius outer front wheel (wheel centre) [mm]</t>
  </si>
  <si>
    <t xml:space="preserve">Turning circle diameter outer (wheel centre + half tyre width 7.5 mm) [mm]</t>
  </si>
  <si>
    <t xml:space="preserve">Note: the linkage values are calculated from CAD points (Python). If the steering changes, the STEP file has to be re-evaluated and columns B/C recalculated.</t>
  </si>
  <si>
    <t xml:space="preserve">Turning radius per steering command and speed (T06/T09, R03/R10)</t>
  </si>
  <si>
    <t xml:space="preserve">One constant steering command per row, drive 2 full circles. v and ψ̇ each as the mean over the steady-state part (omit the first half lap).</t>
  </si>
  <si>
    <t xml:space="preserve">Steering command</t>
  </si>
  <si>
    <t xml:space="preserve">Direction (L/R)</t>
  </si>
  <si>
    <t xml:space="preserve">v target [m/s]</t>
  </si>
  <si>
    <t xml:space="preserve">v measured (encoder) [m/s]</t>
  </si>
  <si>
    <t xml:space="preserve">ψ̇ measured (IMU) [rad/s]</t>
  </si>
  <si>
    <t xml:space="preserve">R = v/ψ̇ [mm]</t>
  </si>
  <si>
    <t xml:space="preserve">Circle Ø tape measure [mm] (optional)</t>
  </si>
  <si>
    <t xml:space="preserve">R tape measure [mm]</t>
  </si>
  <si>
    <t xml:space="preserve">δ_eff = atan(L/R) [°]</t>
  </si>
  <si>
    <t xml:space="preserve">δ_static from Steering_Target_Actual [°]</t>
  </si>
  <si>
    <t xml:space="preserve">Understeer δ_stat − δ_eff [°]</t>
  </si>
  <si>
    <t xml:space="preserve">a_y = v²/R [m/s²]</t>
  </si>
  <si>
    <t xml:space="preserve">L</t>
  </si>
  <si>
    <t xml:space="preserve">R</t>
  </si>
  <si>
    <t xml:space="preserve">Understeer gradient K (slope of understeer over a_y, all rows) [°/(m/s²)]</t>
  </si>
  <si>
    <t xml:space="preserve">Smallest measured radius [mm] (= turning circle/2 at full lock)</t>
  </si>
  <si>
    <t xml:space="preserve">Theoretical comparison (Ackermann_CAD) [mm]</t>
  </si>
  <si>
    <t xml:space="preserve">Drivetrain: speed, traction, encoder, braking (R04, R06, R11, R12)</t>
  </si>
  <si>
    <t xml:space="preserve">Replaces the old performance index P with physically comparable quantities.</t>
  </si>
  <si>
    <t xml:space="preserve">Nominal wheel diameter d [mm]</t>
  </si>
  <si>
    <t xml:space="preserve">Fusion / mould</t>
  </si>
  <si>
    <t xml:space="preserve">Bevel gear ratio i (motor:axle)</t>
  </si>
  <si>
    <t xml:space="preserve">1:1</t>
  </si>
  <si>
    <t xml:space="preserve">No-load speed n₀ @ 12 V [1/min]</t>
  </si>
  <si>
    <t xml:space="preserve">shop data</t>
  </si>
  <si>
    <t xml:space="preserve">Rated motor voltage [V]</t>
  </si>
  <si>
    <t xml:space="preserve">Nominal battery voltage [V]</t>
  </si>
  <si>
    <t xml:space="preserve">4S</t>
  </si>
  <si>
    <t xml:space="preserve">Full battery voltage [V]</t>
  </si>
  <si>
    <t xml:space="preserve">Max. PWM duty cycle in the software [%]</t>
  </si>
  <si>
    <t xml:space="preserve">full PWM 0–1023 (journal 3.1.7)</t>
  </si>
  <si>
    <t xml:space="preserve">Mass ready to drive [g]</t>
  </si>
  <si>
    <t xml:space="preserve">from Mass_CoG (scale, otherwise CAD sum)</t>
  </si>
  <si>
    <t xml:space="preserve">from Mass_CoG</t>
  </si>
  <si>
    <t xml:space="preserve">Friction coefficient μ longitudinal</t>
  </si>
  <si>
    <t xml:space="preserve">from Grip_Tipping</t>
  </si>
  <si>
    <t xml:space="preserve">Stall torque M_stall @ 12 V [Nm] (T10)</t>
  </si>
  <si>
    <t xml:space="preserve">not measured: tyres slip before stalling (journal 3.1.7.2)</t>
  </si>
  <si>
    <t xml:space="preserve">Stall current @ 12 V [A] (T10)</t>
  </si>
  <si>
    <t xml:space="preserve">Traction limit: approx. 0.53 A winding current (journal)</t>
  </si>
  <si>
    <t xml:space="preserve">Calculated</t>
  </si>
  <si>
    <t xml:space="preserve">v₀ theoretical @ 12 V [m/s]</t>
  </si>
  <si>
    <t xml:space="preserve">v₀ theoretical @ 14.8 V [m/s] (n ~ U)</t>
  </si>
  <si>
    <t xml:space="preserve">v₀ theoretical @ 16.8 V [m/s]</t>
  </si>
  <si>
    <t xml:space="preserve">v₀ at max. PWM and 14.8 V [m/s]</t>
  </si>
  <si>
    <t xml:space="preserve">Previous documentation for comparison: v_max [m/s]</t>
  </si>
  <si>
    <t xml:space="preserve">Wheel force from stall torque [N]</t>
  </si>
  <si>
    <t xml:space="preserve">a_motor = F/m [m/s²] (motor launch limit)</t>
  </si>
  <si>
    <t xml:space="preserve">Static rear axle load [%]</t>
  </si>
  <si>
    <t xml:space="preserve">a_grip rear-wheel drive with load transfer [m/s²]</t>
  </si>
  <si>
    <t xml:space="preserve">Limiting factor at launch</t>
  </si>
  <si>
    <t xml:space="preserve">Time 0 → 1 m/s at limit acceleration [s]</t>
  </si>
  <si>
    <t xml:space="preserve">Encoder calibration (T04)</t>
  </si>
  <si>
    <t xml:space="preserve">Run</t>
  </si>
  <si>
    <t xml:space="preserve">Real distance [mm]</t>
  </si>
  <si>
    <t xml:space="preserve">Encoder counts</t>
  </si>
  <si>
    <t xml:space="preserve">mm per count</t>
  </si>
  <si>
    <t xml:space="preserve">eff. wheel diameter [mm]</t>
  </si>
  <si>
    <t xml:space="preserve">(needs counts per wheel revolution, cell B45)</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</si>
  <si>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</si>
  <si>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</si>
  <si>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</si>
  <si>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</si>
  <si>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</si>
  <si>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</si>
  <si>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</si>
  <si>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</si>
  <si>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</si>
  <si>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</si>
  <si>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Counts per wheel revolution (encoder PPR × gearbox × decoding × i)</t>
  </si>
  <si>
    <t xml:space="preserve">Journal 3.1.7.4</t>
  </si>
  <si>
    <t xml:space="preserve">Mean mm/count</t>
  </si>
  <si>
    <t xml:space="preserve">Mean eff. wheel diameter [mm] (vs. 32 nominal)</t>
  </si>
  <si>
    <t xml:space="preserve">Braking &amp; coasting (T11)</t>
  </si>
  <si>
    <t xml:space="preserve">Initial speed v [m/s]</t>
  </si>
  <si>
    <t xml:space="preserve">Active braking distance [mm]</t>
  </si>
  <si>
    <t xml:space="preserve">no active brake – the vehicle coasts (journal 3.1.7)</t>
  </si>
  <si>
    <t xml:space="preserve">Coasting distance [mm]</t>
  </si>
  <si>
    <t xml:space="preserve">from coast-down deceleration 0.57 m/s² (journal 4.6)</t>
  </si>
  <si>
    <t xml:space="preserve">Braking deceleration a = v²/(2s) [m/s²]</t>
  </si>
  <si>
    <t xml:space="preserve">Coast-down deceleration [m/s²]</t>
  </si>
  <si>
    <t xml:space="preserve">Rolling resistance coefficient c_r = a/g (incl. gearbox drag)</t>
  </si>
  <si>
    <t xml:space="preserve">Theoretical minimum braking distance at μ (rear axle braking only) [mm]</t>
  </si>
  <si>
    <t xml:space="preserve">Friction coefficient, cornering limit, tipping limit, slip of the rigid rear axle (T08, T12, R07–R09)</t>
  </si>
  <si>
    <t xml:space="preserve">Condition</t>
  </si>
  <si>
    <t xml:space="preserve">Sliding angle α [°] (5 measurements →)</t>
  </si>
  <si>
    <t xml:space="preserve">Mean α [°]</t>
  </si>
  <si>
    <t xml:space="preserve">μ = tan α</t>
  </si>
  <si>
    <t xml:space="preserve">Longitudinal (wheels blocked)</t>
  </si>
  <si>
    <t xml:space="preserve">clean</t>
  </si>
  <si>
    <t xml:space="preserve">after 3 runs</t>
  </si>
  <si>
    <t xml:space="preserve">Lateral</t>
  </si>
  <si>
    <t xml:space="preserve">Lateral, LEGO Spike tyre (comparison)</t>
  </si>
  <si>
    <t xml:space="preserve">Values used</t>
  </si>
  <si>
    <t xml:space="preserve">μ longitudinal (clean)</t>
  </si>
  <si>
    <t xml:space="preserve">μ lateral (clean)</t>
  </si>
  <si>
    <t xml:space="preserve">Track width T [mm]</t>
  </si>
  <si>
    <t xml:space="preserve">Tipping limit a_tip = g·(T/2)/h [m/s²]</t>
  </si>
  <si>
    <t xml:space="preserve">Sliding limit a_slide = μ_lat·g [m/s²]</t>
  </si>
  <si>
    <t xml:space="preserve">What happens first?</t>
  </si>
  <si>
    <t xml:space="preserve">Safety factor against tipping a_tip/a_slide</t>
  </si>
  <si>
    <t xml:space="preserve">Turning radius R (rear-axle centre) [mm]</t>
  </si>
  <si>
    <t xml:space="preserve">v_max = √(μ·g·R) [m/s]</t>
  </si>
  <si>
    <t xml:space="preserve">Slip per rear wheel ± T/(2R)</t>
  </si>
  <si>
    <t xml:space="preserve">Required speed inner/outer</t>
  </si>
  <si>
    <t xml:space="preserve">Meaning: without a differential both rear wheels have to turn at the same speed. The inner wheel pushes, the outer wheel scrubs. At tight radii the slip becomes large, the rear pushes straight on and the robot understeers. This is the central trade-off of “differential removed”.</t>
  </si>
  <si>
    <t xml:space="preserve">Tyre diameter (T12)</t>
  </si>
  <si>
    <t xml:space="preserve">Tyre</t>
  </si>
  <si>
    <t xml:space="preserve">Ø pos. 1 [mm]</t>
  </si>
  <si>
    <t xml:space="preserve">Ø pos. 2 [mm]</t>
  </si>
  <si>
    <t xml:space="preserve">Ø pos. 3 [mm]</t>
  </si>
  <si>
    <t xml:space="preserve">Mean [mm]</t>
  </si>
  <si>
    <t xml:space="preserve">Runout max−min [mm]</t>
  </si>
  <si>
    <t xml:space="preserve">front left</t>
  </si>
  <si>
    <t xml:space="preserve">front right</t>
  </si>
  <si>
    <t xml:space="preserve">rear left</t>
  </si>
  <si>
    <t xml:space="preserve">rear right</t>
  </si>
  <si>
    <t xml:space="preserve">Ø difference rear left − right [mm]</t>
  </si>
  <si>
    <t xml:space="preserve">Resulting self-steer radius of the rear axle R = T·d/Δd [m]</t>
  </si>
  <si>
    <t xml:space="preserve">Lateral deviation after 3 m straight run, measured [mm]</t>
  </si>
  <si>
    <t xml:space="preserve">Expected from Ø difference (s²/(2R)) [mm]</t>
  </si>
  <si>
    <t xml:space="preserve">Step response (T07, R05)</t>
  </si>
  <si>
    <t xml:space="preserve">Paste t and v from the encoder log (from the moment of the PWM step, t in s, v in m/s). Up to 400 rows.</t>
  </si>
  <si>
    <t xml:space="preserve">Condition (PWM %, battery voltage)</t>
  </si>
  <si>
    <t xml:space="preserve">100 % PWM, battery 15.9 V, mat</t>
  </si>
  <si>
    <t xml:space="preserve">Final speed v_end [m/s]</t>
  </si>
  <si>
    <t xml:space="preserve">Target 63.2 % · v_end [m/s]</t>
  </si>
  <si>
    <t xml:space="preserve">Time constant τ [s]</t>
  </si>
  <si>
    <t xml:space="preserve">Max. measured acceleration [m/s²]</t>
  </si>
  <si>
    <t xml:space="preserve">v [m/s]</t>
  </si>
  <si>
    <t xml:space="preserve">Current [A] (optional)</t>
  </si>
  <si>
    <t xml:space="preserve">a = dv/dt [m/s²]</t>
  </si>
  <si>
    <t xml:space="preserve">63.2 % crossing [s]</t>
  </si>
</sst>
</file>

<file path=xl/styles.xml><?xml version="1.0" encoding="utf-8"?>
<styleSheet xmlns="http://schemas.openxmlformats.org/spreadsheetml/2006/main">
  <numFmts count="9">
    <numFmt numFmtId="164" formatCode="General"/>
    <numFmt numFmtId="165" formatCode="0.0"/>
    <numFmt numFmtId="166" formatCode="0.00"/>
    <numFmt numFmtId="167" formatCode="0"/>
    <numFmt numFmtId="168" formatCode="0.000"/>
    <numFmt numFmtId="169" formatCode="0.0%"/>
    <numFmt numFmtId="170" formatCode="0%"/>
    <numFmt numFmtId="171" formatCode="@"/>
    <numFmt numFmtId="172" formatCode="0.0000"/>
  </numFmts>
  <fonts count="20">
    <font>
      <sz val="11"/>
      <color theme="1"/>
      <name val="Calibri"/>
      <family val="2"/>
      <charset val="1"/>
    </font>
    <font>
      <sz val="10"/>
      <name val="Arial"/>
      <family val="0"/>
    </font>
    <font>
      <sz val="10"/>
      <name val="Arial"/>
      <family val="0"/>
    </font>
    <font>
      <sz val="10"/>
      <name val="Arial"/>
      <family val="0"/>
    </font>
    <font>
      <b val="true"/>
      <sz val="14"/>
      <color rgb="FF1F3B57"/>
      <name val="Arial"/>
      <family val="0"/>
      <charset val="1"/>
    </font>
    <font>
      <i val="true"/>
      <sz val="9"/>
      <color rgb="FF555555"/>
      <name val="Arial"/>
      <family val="0"/>
      <charset val="1"/>
    </font>
    <font>
      <i val="true"/>
      <sz val="10"/>
      <color rgb="FF555555"/>
      <name val="Arial"/>
      <family val="0"/>
      <charset val="1"/>
    </font>
    <font>
      <b val="true"/>
      <sz val="11"/>
      <color rgb="FF000000"/>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00FF"/>
      <name val="Arial"/>
      <family val="0"/>
      <charset val="1"/>
    </font>
    <font>
      <b val="true"/>
      <sz val="12"/>
      <color rgb="FF1F3B57"/>
      <name val="Arial"/>
      <family val="0"/>
      <charset val="1"/>
    </font>
    <font>
      <i val="true"/>
      <sz val="9"/>
      <color rgb="FF666666"/>
      <name val="Arial"/>
      <family val="0"/>
      <charset val="1"/>
    </font>
    <font>
      <i val="true"/>
      <sz val="10"/>
      <color rgb="FF777777"/>
      <name val="Arial"/>
      <family val="0"/>
      <charset val="1"/>
    </font>
    <font>
      <i val="true"/>
      <sz val="10"/>
      <color rgb="FF00000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FFF2CC"/>
        <bgColor rgb="FFFCE4D6"/>
      </patternFill>
    </fill>
    <fill>
      <patternFill patternType="solid">
        <fgColor rgb="FFEAF1F8"/>
        <bgColor rgb="FFEFEFEF"/>
      </patternFill>
    </fill>
    <fill>
      <patternFill patternType="solid">
        <fgColor rgb="FFEFEFEF"/>
        <bgColor rgb="FFEAF1F8"/>
      </patternFill>
    </fill>
    <fill>
      <patternFill patternType="solid">
        <fgColor rgb="FFFCE4D6"/>
        <bgColor rgb="FFFFF2CC"/>
      </patternFill>
    </fill>
    <fill>
      <patternFill patternType="solid">
        <fgColor rgb="FF1F3B57"/>
        <bgColor rgb="FF003366"/>
      </patternFill>
    </fill>
  </fills>
  <borders count="2">
    <border diagonalUp="false" diagonalDown="false">
      <left/>
      <right/>
      <top/>
      <bottom/>
      <diagonal/>
    </border>
    <border diagonalUp="false" diagonalDown="false">
      <left style="thin">
        <color rgb="FFB7C3CF"/>
      </left>
      <right style="thin">
        <color rgb="FFB7C3CF"/>
      </right>
      <top style="thin">
        <color rgb="FFB7C3CF"/>
      </top>
      <bottom style="thin">
        <color rgb="FFB7C3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11" fillId="2"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xf numFmtId="167" fontId="8" fillId="3" borderId="1" xfId="0" applyFont="true" applyBorder="true" applyAlignment="true" applyProtection="false">
      <alignment horizontal="general" vertical="top" textRotation="0" wrapText="false" indent="0" shrinkToFit="false"/>
      <protection locked="true" hidden="false"/>
    </xf>
    <xf numFmtId="168" fontId="8" fillId="3"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9" fontId="8" fillId="3" borderId="1" xfId="0" applyFont="true" applyBorder="true" applyAlignment="true" applyProtection="false">
      <alignment horizontal="general" vertical="top" textRotation="0" wrapText="false" indent="0" shrinkToFit="false"/>
      <protection locked="true" hidden="false"/>
    </xf>
    <xf numFmtId="170" fontId="8" fillId="3"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8" fillId="5" borderId="1" xfId="0" applyFont="true" applyBorder="true" applyAlignment="true" applyProtection="false">
      <alignment horizontal="general" vertical="top" textRotation="0" wrapText="false" indent="0" shrinkToFit="false"/>
      <protection locked="true" hidden="false"/>
    </xf>
    <xf numFmtId="168" fontId="11" fillId="2" borderId="1" xfId="0" applyFont="true" applyBorder="true" applyAlignment="true" applyProtection="false">
      <alignment horizontal="general" vertical="top" textRotation="0" wrapText="false" indent="0" shrinkToFit="false"/>
      <protection locked="true" hidden="false"/>
    </xf>
    <xf numFmtId="166" fontId="11" fillId="2"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7" fontId="11" fillId="2" borderId="1" xfId="0" applyFont="true" applyBorder="true" applyAlignment="true" applyProtection="false">
      <alignment horizontal="general" vertical="top" textRotation="0" wrapText="false" indent="0" shrinkToFit="false"/>
      <protection locked="true" hidden="false"/>
    </xf>
    <xf numFmtId="166" fontId="8" fillId="5" borderId="1" xfId="0" applyFont="true" applyBorder="true" applyAlignment="true" applyProtection="false">
      <alignment horizontal="general" vertical="top" textRotation="0" wrapText="false" indent="0" shrinkToFit="false"/>
      <protection locked="true" hidden="false"/>
    </xf>
    <xf numFmtId="171" fontId="8" fillId="3" borderId="1" xfId="0" applyFont="true" applyBorder="true" applyAlignment="true" applyProtection="false">
      <alignment horizontal="general" vertical="top" textRotation="0" wrapText="false" indent="0" shrinkToFit="false"/>
      <protection locked="true" hidden="false"/>
    </xf>
    <xf numFmtId="172" fontId="8"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3CF"/>
      <rgbColor rgb="FF878787"/>
      <rgbColor rgb="FF9999FF"/>
      <rgbColor rgb="FFBE4B48"/>
      <rgbColor rgb="FFFFF2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CCFFCC"/>
      <rgbColor rgb="FFFFFF99"/>
      <rgbColor rgb="FF99CCFF"/>
      <rgbColor rgb="FFFF99CC"/>
      <rgbColor rgb="FFCC99FF"/>
      <rgbColor rgb="FFFCE4D6"/>
      <rgbColor rgb="FF4A7EBB"/>
      <rgbColor rgb="FF33CCCC"/>
      <rgbColor rgb="FF98B855"/>
      <rgbColor rgb="FFFFCC00"/>
      <rgbColor rgb="FFFF9900"/>
      <rgbColor rgb="FFFF6600"/>
      <rgbColor rgb="FF666666"/>
      <rgbColor rgb="FF777777"/>
      <rgbColor rgb="FF003366"/>
      <rgbColor rgb="FF339966"/>
      <rgbColor rgb="FF003300"/>
      <rgbColor rgb="FF333300"/>
      <rgbColor rgb="FF993300"/>
      <rgbColor rgb="FF993366"/>
      <rgbColor rgb="FF555555"/>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Soll vs. Ist: LEGO, Direkt (alt), Ackermann (neu)</a:t>
            </a:r>
          </a:p>
        </c:rich>
      </c:tx>
      <c:overlay val="0"/>
      <c:spPr>
        <a:noFill/>
        <a:ln w="0">
          <a:noFill/>
        </a:ln>
      </c:spPr>
    </c:title>
    <c:autoTitleDeleted val="0"/>
    <c:plotArea>
      <c:scatterChart>
        <c:scatterStyle val="lineMarker"/>
        <c:varyColors val="0"/>
        <c:ser>
          <c:idx val="0"/>
          <c:order val="0"/>
          <c:tx>
            <c:strRef>
              <c:f>label 0</c:f>
              <c:strCache>
                <c:ptCount val="1"/>
                <c:pt idx="0">
                  <c:v>LEGO Hin</c:v>
                </c:pt>
              </c:strCache>
            </c:strRef>
          </c:tx>
          <c:spPr>
            <a:solidFill>
              <a:srgbClr val="4a7ebb"/>
            </a:solidFill>
            <a:ln w="28440">
              <a:solidFill>
                <a:srgbClr val="4a7ebb"/>
              </a:solidFill>
              <a:round/>
            </a:ln>
          </c:spPr>
          <c:marker>
            <c:symbol val="circle"/>
            <c:size val="5"/>
            <c:spPr>
              <a:solidFill>
                <a:srgbClr val="4a7eb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c:f>
              <c:numCache>
                <c:formatCode>0.0</c:formatCode>
                <c:ptCount val="9"/>
                <c:pt idx="0">
                  <c:v>-35</c:v>
                </c:pt>
                <c:pt idx="1">
                  <c:v>-30</c:v>
                </c:pt>
                <c:pt idx="2">
                  <c:v>-20</c:v>
                </c:pt>
                <c:pt idx="3">
                  <c:v>-10</c:v>
                </c:pt>
                <c:pt idx="4">
                  <c:v>0</c:v>
                </c:pt>
                <c:pt idx="5">
                  <c:v>10</c:v>
                </c:pt>
                <c:pt idx="6">
                  <c:v>20</c:v>
                </c:pt>
                <c:pt idx="7">
                  <c:v>30</c:v>
                </c:pt>
                <c:pt idx="8">
                  <c:v>35</c:v>
                </c:pt>
              </c:numCache>
            </c:numRef>
          </c:xVal>
          <c:yVal>
            <c:numRef>
              <c:f>0</c:f>
              <c:numCache>
                <c:formatCode>0.0</c:formatCode>
                <c:ptCount val="9"/>
                <c:pt idx="0">
                  <c:v>-32.5</c:v>
                </c:pt>
                <c:pt idx="1">
                  <c:v>-27</c:v>
                </c:pt>
                <c:pt idx="2">
                  <c:v>-16.5</c:v>
                </c:pt>
                <c:pt idx="3">
                  <c:v>-6</c:v>
                </c:pt>
                <c:pt idx="4">
                  <c:v>3.5</c:v>
                </c:pt>
                <c:pt idx="5">
                  <c:v>13</c:v>
                </c:pt>
                <c:pt idx="6">
                  <c:v>22.5</c:v>
                </c:pt>
                <c:pt idx="7">
                  <c:v>31.5</c:v>
                </c:pt>
                <c:pt idx="8">
                  <c:v>34</c:v>
                </c:pt>
              </c:numCache>
            </c:numRef>
          </c:yVal>
          <c:smooth val="1"/>
        </c:ser>
        <c:ser>
          <c:idx val="1"/>
          <c:order val="1"/>
          <c:tx>
            <c:strRef>
              <c:f>label 2</c:f>
              <c:strCache>
                <c:ptCount val="1"/>
                <c:pt idx="0">
                  <c:v>Direkt Hin</c:v>
                </c:pt>
              </c:strCache>
            </c:strRef>
          </c:tx>
          <c:spPr>
            <a:solidFill>
              <a:srgbClr val="be4b48"/>
            </a:solidFill>
            <a:ln w="28440">
              <a:solidFill>
                <a:srgbClr val="be4b48"/>
              </a:solidFill>
              <a:round/>
            </a:ln>
          </c:spPr>
          <c:marker>
            <c:symbol val="circle"/>
            <c:size val="5"/>
            <c:spPr>
              <a:solidFill>
                <a:srgbClr val="be4b4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c:f>
              <c:numCache>
                <c:formatCode>0.0</c:formatCode>
                <c:ptCount val="9"/>
                <c:pt idx="0">
                  <c:v>-35</c:v>
                </c:pt>
                <c:pt idx="1">
                  <c:v>-30</c:v>
                </c:pt>
                <c:pt idx="2">
                  <c:v>-20</c:v>
                </c:pt>
                <c:pt idx="3">
                  <c:v>-10</c:v>
                </c:pt>
                <c:pt idx="4">
                  <c:v>0</c:v>
                </c:pt>
                <c:pt idx="5">
                  <c:v>10</c:v>
                </c:pt>
                <c:pt idx="6">
                  <c:v>20</c:v>
                </c:pt>
                <c:pt idx="7">
                  <c:v>30</c:v>
                </c:pt>
                <c:pt idx="8">
                  <c:v>35</c:v>
                </c:pt>
              </c:numCache>
            </c:numRef>
          </c:xVal>
          <c:yVal>
            <c:numRef>
              <c:f>2</c:f>
              <c:numCache>
                <c:formatCode>0.0</c:formatCode>
                <c:ptCount val="9"/>
                <c:pt idx="0">
                  <c:v>-34.8</c:v>
                </c:pt>
                <c:pt idx="1">
                  <c:v>-29.7</c:v>
                </c:pt>
                <c:pt idx="2">
                  <c:v>-19.8</c:v>
                </c:pt>
                <c:pt idx="3">
                  <c:v>-9.7</c:v>
                </c:pt>
                <c:pt idx="4">
                  <c:v>0.2</c:v>
                </c:pt>
                <c:pt idx="5">
                  <c:v>10.1</c:v>
                </c:pt>
                <c:pt idx="6">
                  <c:v>20.2</c:v>
                </c:pt>
                <c:pt idx="7">
                  <c:v>30.1</c:v>
                </c:pt>
                <c:pt idx="8">
                  <c:v>34.9</c:v>
                </c:pt>
              </c:numCache>
            </c:numRef>
          </c:yVal>
          <c:smooth val="1"/>
        </c:ser>
        <c:ser>
          <c:idx val="2"/>
          <c:order val="2"/>
          <c:tx>
            <c:strRef>
              <c:f>label 4</c:f>
              <c:strCache>
                <c:ptCount val="1"/>
                <c:pt idx="0">
                  <c:v>Neu δ_ist</c:v>
                </c:pt>
              </c:strCache>
            </c:strRef>
          </c:tx>
          <c:spPr>
            <a:solidFill>
              <a:srgbClr val="98b855"/>
            </a:solidFill>
            <a:ln w="28440">
              <a:solidFill>
                <a:srgbClr val="98b855"/>
              </a:solidFill>
              <a:round/>
            </a:ln>
          </c:spPr>
          <c:marker>
            <c:symbol val="triangle"/>
            <c:size val="5"/>
            <c:spPr>
              <a:solidFill>
                <a:srgbClr val="98b855"/>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5</c:f>
              <c:numCache>
                <c:formatCode>0.0</c:formatCode>
                <c:ptCount val="4"/>
                <c:pt idx="0">
                  <c:v>-45</c:v>
                </c:pt>
                <c:pt idx="1">
                  <c:v>-13.5</c:v>
                </c:pt>
                <c:pt idx="2">
                  <c:v>13.5</c:v>
                </c:pt>
                <c:pt idx="3">
                  <c:v>45</c:v>
                </c:pt>
              </c:numCache>
            </c:numRef>
          </c:xVal>
          <c:yVal>
            <c:numRef>
              <c:f>4</c:f>
              <c:numCache>
                <c:formatCode>0.0</c:formatCode>
                <c:ptCount val="4"/>
                <c:pt idx="0">
                  <c:v>-36.892</c:v>
                </c:pt>
                <c:pt idx="1">
                  <c:v>-12.5</c:v>
                </c:pt>
                <c:pt idx="2">
                  <c:v>13.5</c:v>
                </c:pt>
                <c:pt idx="3">
                  <c:v>36.926</c:v>
                </c:pt>
              </c:numCache>
            </c:numRef>
          </c:yVal>
          <c:smooth val="1"/>
        </c:ser>
        <c:axId val="36351672"/>
        <c:axId val="57634661"/>
      </c:scatterChart>
      <c:valAx>
        <c:axId val="3635167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Soll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34661"/>
        <c:crosses val="autoZero"/>
        <c:crossBetween val="midCat"/>
      </c:valAx>
      <c:valAx>
        <c:axId val="576346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Ist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5167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Außenwinkel: Lenkgetriebe vs. ideales Ackermann</a:t>
            </a:r>
          </a:p>
        </c:rich>
      </c:tx>
      <c:overlay val="0"/>
      <c:spPr>
        <a:noFill/>
        <a:ln w="0">
          <a:noFill/>
        </a:ln>
      </c:spPr>
    </c:title>
    <c:autoTitleDeleted val="0"/>
    <c:plotArea>
      <c:lineChart>
        <c:grouping val="standard"/>
        <c:varyColors val="0"/>
        <c:ser>
          <c:idx val="0"/>
          <c:order val="0"/>
          <c:tx>
            <c:strRef>
              <c:f>Ackermann_CAD!B13</c:f>
              <c:strCache>
                <c:ptCount val="1"/>
                <c:pt idx="0">
                  <c:v>δ_outer linkage, left turn [°]</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Ackermann_CAD!$A$14:$A$43</c:f>
              <c:strCache>
                <c:ptCount val="30"/>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strCache>
            </c:strRef>
          </c:cat>
          <c:val>
            <c:numRef>
              <c:f>Ackermann_CAD!$B$14:$B$43</c:f>
              <c:numCache>
                <c:formatCode>0.00</c:formatCode>
                <c:ptCount val="30"/>
                <c:pt idx="0">
                  <c:v>0</c:v>
                </c:pt>
                <c:pt idx="1">
                  <c:v>1.98</c:v>
                </c:pt>
                <c:pt idx="2">
                  <c:v>3.91</c:v>
                </c:pt>
                <c:pt idx="3">
                  <c:v>5.8</c:v>
                </c:pt>
                <c:pt idx="4">
                  <c:v>7.65</c:v>
                </c:pt>
                <c:pt idx="5">
                  <c:v>9.45</c:v>
                </c:pt>
                <c:pt idx="6">
                  <c:v>11.22</c:v>
                </c:pt>
                <c:pt idx="7">
                  <c:v>12.94</c:v>
                </c:pt>
                <c:pt idx="8">
                  <c:v>14.61</c:v>
                </c:pt>
                <c:pt idx="9">
                  <c:v>16.25</c:v>
                </c:pt>
                <c:pt idx="10">
                  <c:v>17.83</c:v>
                </c:pt>
                <c:pt idx="11">
                  <c:v>19.37</c:v>
                </c:pt>
                <c:pt idx="12">
                  <c:v>20.87</c:v>
                </c:pt>
                <c:pt idx="13">
                  <c:v>22.31</c:v>
                </c:pt>
                <c:pt idx="14">
                  <c:v>23.7</c:v>
                </c:pt>
                <c:pt idx="15">
                  <c:v>25.04</c:v>
                </c:pt>
                <c:pt idx="16">
                  <c:v>26.33</c:v>
                </c:pt>
                <c:pt idx="17">
                  <c:v>27.55</c:v>
                </c:pt>
                <c:pt idx="18">
                  <c:v>28.72</c:v>
                </c:pt>
                <c:pt idx="19">
                  <c:v>29.82</c:v>
                </c:pt>
                <c:pt idx="20">
                  <c:v>30.85</c:v>
                </c:pt>
                <c:pt idx="21">
                  <c:v>31.81</c:v>
                </c:pt>
                <c:pt idx="22">
                  <c:v>32.7</c:v>
                </c:pt>
                <c:pt idx="23">
                  <c:v>33.51</c:v>
                </c:pt>
                <c:pt idx="24">
                  <c:v>34.24</c:v>
                </c:pt>
                <c:pt idx="25">
                  <c:v>34.88</c:v>
                </c:pt>
                <c:pt idx="26">
                  <c:v>35.44</c:v>
                </c:pt>
                <c:pt idx="27">
                  <c:v>35.9</c:v>
                </c:pt>
                <c:pt idx="28">
                  <c:v>36.26</c:v>
                </c:pt>
                <c:pt idx="29">
                  <c:v>36.53</c:v>
                </c:pt>
              </c:numCache>
            </c:numRef>
          </c:val>
          <c:smooth val="1"/>
        </c:ser>
        <c:ser>
          <c:idx val="1"/>
          <c:order val="1"/>
          <c:tx>
            <c:strRef>
              <c:f>Ackermann_CAD!D13</c:f>
              <c:strCache>
                <c:ptCount val="1"/>
                <c:pt idx="0">
                  <c:v>δ_outer ideal [°]</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Ackermann_CAD!$A$14:$A$43</c:f>
              <c:strCache>
                <c:ptCount val="30"/>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strCache>
            </c:strRef>
          </c:cat>
          <c:val>
            <c:numRef>
              <c:f>Ackermann_CAD!$D$14:$D$43</c:f>
              <c:numCache>
                <c:formatCode>0.00</c:formatCode>
                <c:ptCount val="30"/>
                <c:pt idx="0">
                  <c:v>0</c:v>
                </c:pt>
                <c:pt idx="1">
                  <c:v>1.96023534586712</c:v>
                </c:pt>
                <c:pt idx="2">
                  <c:v>3.84421647639618</c:v>
                </c:pt>
                <c:pt idx="3">
                  <c:v>5.65679295988501</c:v>
                </c:pt>
                <c:pt idx="4">
                  <c:v>7.40269188648507</c:v>
                </c:pt>
                <c:pt idx="5">
                  <c:v>9.08648232067767</c:v>
                </c:pt>
                <c:pt idx="6">
                  <c:v>10.7125521046053</c:v>
                </c:pt>
                <c:pt idx="7">
                  <c:v>12.2850943852934</c:v>
                </c:pt>
                <c:pt idx="8">
                  <c:v>13.8081016567179</c:v>
                </c:pt>
                <c:pt idx="9">
                  <c:v>15.2853654981238</c:v>
                </c:pt>
                <c:pt idx="10">
                  <c:v>16.7204805381874</c:v>
                </c:pt>
                <c:pt idx="11">
                  <c:v>18.1168514750695</c:v>
                </c:pt>
                <c:pt idx="12">
                  <c:v>19.4777022353402</c:v>
                </c:pt>
                <c:pt idx="13">
                  <c:v>20.8060865636446</c:v>
                </c:pt>
                <c:pt idx="14">
                  <c:v>22.1048995048253</c:v>
                </c:pt>
                <c:pt idx="15">
                  <c:v>23.3768893765543</c:v>
                </c:pt>
                <c:pt idx="16">
                  <c:v>24.6246699387594</c:v>
                </c:pt>
                <c:pt idx="17">
                  <c:v>25.8507325512139</c:v>
                </c:pt>
                <c:pt idx="18">
                  <c:v>27.0574581769603</c:v>
                </c:pt>
                <c:pt idx="19">
                  <c:v>28.2471291404643</c:v>
                </c:pt>
                <c:pt idx="20">
                  <c:v>29.4219405886661</c:v>
                </c:pt>
                <c:pt idx="21">
                  <c:v>30.5840116329478</c:v>
                </c:pt>
                <c:pt idx="22">
                  <c:v>31.7353961725452</c:v>
                </c:pt>
                <c:pt idx="23">
                  <c:v>32.8780934167435</c:v>
                </c:pt>
                <c:pt idx="24">
                  <c:v>34.0140581356236</c:v>
                </c:pt>
                <c:pt idx="25">
                  <c:v>35.1452106781875</c:v>
                </c:pt>
                <c:pt idx="26">
                  <c:v>36.2734468031733</c:v>
                </c:pt>
                <c:pt idx="27">
                  <c:v>37.4006473723638</c:v>
                </c:pt>
                <c:pt idx="28">
                  <c:v>38.5286879591308</c:v>
                </c:pt>
                <c:pt idx="29">
                  <c:v>39.6594484266279</c:v>
                </c:pt>
              </c:numCache>
            </c:numRef>
          </c:val>
          <c:smooth val="1"/>
        </c:ser>
        <c:hiLowLines>
          <c:spPr>
            <a:ln w="0">
              <a:noFill/>
            </a:ln>
          </c:spPr>
        </c:hiLowLines>
        <c:marker val="0"/>
        <c:axId val="91235709"/>
        <c:axId val="66731933"/>
      </c:lineChart>
      <c:catAx>
        <c:axId val="9123570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δ_innen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731933"/>
        <c:crosses val="autoZero"/>
        <c:auto val="1"/>
        <c:lblAlgn val="ctr"/>
        <c:lblOffset val="100"/>
        <c:noMultiLvlLbl val="0"/>
      </c:catAx>
      <c:valAx>
        <c:axId val="667319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δ_außen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357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Untersteuern über Querbeschleunigung</a:t>
            </a:r>
          </a:p>
        </c:rich>
      </c:tx>
      <c:overlay val="0"/>
      <c:spPr>
        <a:noFill/>
        <a:ln w="0">
          <a:noFill/>
        </a:ln>
      </c:spPr>
    </c:title>
    <c:autoTitleDeleted val="0"/>
    <c:plotArea>
      <c:scatterChart>
        <c:scatterStyle val="lineMarker"/>
        <c:varyColors val="0"/>
        <c:ser>
          <c:idx val="0"/>
          <c:order val="0"/>
          <c:tx>
            <c:strRef>
              <c:f>"Messpunkte"</c:f>
              <c:strCache>
                <c:ptCount val="1"/>
                <c:pt idx="0">
                  <c:v>Messpunkte</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Radius_v!$L$8:$L$37</c:f>
              <c:numCache>
                <c:formatCode>0.00</c:formatCode>
                <c:ptCount val="30"/>
                <c:pt idx="0">
                  <c:v>0.161787</c:v>
                </c:pt>
                <c:pt idx="1">
                  <c:v>0.10348</c:v>
                </c:pt>
                <c:pt idx="2">
                  <c:v>0.061889</c:v>
                </c:pt>
                <c:pt idx="3">
                  <c:v>0.029253</c:v>
                </c:pt>
                <c:pt idx="4">
                  <c:v>0.04356</c:v>
                </c:pt>
                <c:pt idx="5">
                  <c:v>0.090744</c:v>
                </c:pt>
                <c:pt idx="6">
                  <c:v>0.142683</c:v>
                </c:pt>
                <c:pt idx="7">
                  <c:v>0.1868</c:v>
                </c:pt>
                <c:pt idx="8">
                  <c:v>0.488943</c:v>
                </c:pt>
                <c:pt idx="9">
                  <c:v>0.188136</c:v>
                </c:pt>
                <c:pt idx="10">
                  <c:v>0.277458</c:v>
                </c:pt>
                <c:pt idx="11">
                  <c:v>0.540252</c:v>
                </c:pt>
                <c:pt idx="12">
                  <c:v>0.93248</c:v>
                </c:pt>
                <c:pt idx="13">
                  <c:v>0.376747</c:v>
                </c:pt>
                <c:pt idx="14">
                  <c:v>1.0925</c:v>
                </c:pt>
                <c:pt idx="15">
                  <c:v>1.941234</c:v>
                </c:pt>
                <c:pt idx="16">
                  <c:v>0.754755</c:v>
                </c:pt>
                <c:pt idx="17">
                  <c:v>2.164059</c:v>
                </c:pt>
                <c:pt idx="18">
                  <c:v>0.358978</c:v>
                </c:pt>
              </c:numCache>
            </c:numRef>
          </c:xVal>
          <c:yVal>
            <c:numRef>
              <c:f>Radius_v!$K$8:$K$37</c:f>
              <c:numCache>
                <c:formatCode>0.0</c:formatCode>
                <c:ptCount val="30"/>
                <c:pt idx="0">
                  <c:v>21.284579976487</c:v>
                </c:pt>
                <c:pt idx="1">
                  <c:v>16.0332589937445</c:v>
                </c:pt>
                <c:pt idx="2">
                  <c:v>9.53582716503601</c:v>
                </c:pt>
                <c:pt idx="3">
                  <c:v>4.36258866655866</c:v>
                </c:pt>
                <c:pt idx="4">
                  <c:v>5.34734471875525</c:v>
                </c:pt>
                <c:pt idx="5">
                  <c:v>11.7374293842148</c:v>
                </c:pt>
                <c:pt idx="6">
                  <c:v>17.2830293755507</c:v>
                </c:pt>
                <c:pt idx="7">
                  <c:v>19.5532358891967</c:v>
                </c:pt>
                <c:pt idx="8">
                  <c:v>21.8684639467151</c:v>
                </c:pt>
                <c:pt idx="9">
                  <c:v>9.73968516867338</c:v>
                </c:pt>
                <c:pt idx="10">
                  <c:v>12.0971948830534</c:v>
                </c:pt>
                <c:pt idx="11">
                  <c:v>20.680423449253</c:v>
                </c:pt>
                <c:pt idx="12">
                  <c:v>22.7695896086379</c:v>
                </c:pt>
                <c:pt idx="13">
                  <c:v>9.95662968499299</c:v>
                </c:pt>
                <c:pt idx="14">
                  <c:v>20.9991191401811</c:v>
                </c:pt>
                <c:pt idx="15">
                  <c:v>24.6569632898936</c:v>
                </c:pt>
                <c:pt idx="16">
                  <c:v>10.8202507160398</c:v>
                </c:pt>
                <c:pt idx="17">
                  <c:v>23.4410859820975</c:v>
                </c:pt>
                <c:pt idx="18">
                  <c:v>4.95698511434948</c:v>
                </c:pt>
              </c:numCache>
            </c:numRef>
          </c:yVal>
          <c:smooth val="1"/>
        </c:ser>
        <c:axId val="51936095"/>
        <c:axId val="44418055"/>
      </c:scatterChart>
      <c:valAx>
        <c:axId val="5193609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a_y [m/s²]</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418055"/>
        <c:crosses val="autoZero"/>
        <c:crossBetween val="midCat"/>
      </c:valAx>
      <c:valAx>
        <c:axId val="444180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δ_stat − δ_eff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93609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Hochlauf v(t)</a:t>
            </a:r>
          </a:p>
        </c:rich>
      </c:tx>
      <c:overlay val="0"/>
      <c:spPr>
        <a:noFill/>
        <a:ln w="0">
          <a:noFill/>
        </a:ln>
      </c:spPr>
    </c:title>
    <c:autoTitleDeleted val="0"/>
    <c:plotArea>
      <c:scatterChart>
        <c:scatterStyle val="line"/>
        <c:varyColors val="0"/>
        <c:ser>
          <c:idx val="0"/>
          <c:order val="0"/>
          <c:tx>
            <c:strRef>
              <c:f>label 0</c:f>
              <c:strCache>
                <c:ptCount val="1"/>
                <c:pt idx="0">
                  <c:v>v</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c:f>
              <c:numCache>
                <c:formatCode>0.000</c:formatCode>
                <c:ptCount val="400"/>
                <c:pt idx="0">
                  <c:v>0</c:v>
                </c:pt>
                <c:pt idx="1">
                  <c:v>0.02</c:v>
                </c:pt>
                <c:pt idx="2">
                  <c:v>0.04</c:v>
                </c:pt>
                <c:pt idx="3">
                  <c:v>0.06</c:v>
                </c:pt>
                <c:pt idx="4">
                  <c:v>0.08</c:v>
                </c:pt>
                <c:pt idx="5">
                  <c:v>0.1</c:v>
                </c:pt>
                <c:pt idx="6">
                  <c:v>0.12</c:v>
                </c:pt>
                <c:pt idx="7">
                  <c:v>0.14</c:v>
                </c:pt>
                <c:pt idx="8">
                  <c:v>0.16</c:v>
                </c:pt>
                <c:pt idx="9">
                  <c:v>0.18</c:v>
                </c:pt>
                <c:pt idx="10">
                  <c:v>0.2</c:v>
                </c:pt>
                <c:pt idx="11">
                  <c:v>0.22</c:v>
                </c:pt>
                <c:pt idx="12">
                  <c:v>0.24</c:v>
                </c:pt>
                <c:pt idx="13">
                  <c:v>0.26</c:v>
                </c:pt>
                <c:pt idx="14">
                  <c:v>0.28</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c:v>
                </c:pt>
                <c:pt idx="29">
                  <c:v>0.58</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pt idx="51">
                  <c:v>1.02</c:v>
                </c:pt>
                <c:pt idx="52">
                  <c:v>1.04</c:v>
                </c:pt>
                <c:pt idx="53">
                  <c:v>1.06</c:v>
                </c:pt>
                <c:pt idx="54">
                  <c:v>1.08</c:v>
                </c:pt>
                <c:pt idx="55">
                  <c:v>1.1</c:v>
                </c:pt>
                <c:pt idx="56">
                  <c:v>1.12</c:v>
                </c:pt>
                <c:pt idx="57">
                  <c:v>1.14</c:v>
                </c:pt>
                <c:pt idx="58">
                  <c:v>1.16</c:v>
                </c:pt>
                <c:pt idx="59">
                  <c:v>1.18</c:v>
                </c:pt>
                <c:pt idx="60">
                  <c:v>1.2</c:v>
                </c:pt>
                <c:pt idx="61">
                  <c:v>1.22</c:v>
                </c:pt>
                <c:pt idx="62">
                  <c:v>1.24</c:v>
                </c:pt>
                <c:pt idx="63">
                  <c:v>1.26</c:v>
                </c:pt>
                <c:pt idx="64">
                  <c:v>1.28</c:v>
                </c:pt>
                <c:pt idx="65">
                  <c:v>1.3</c:v>
                </c:pt>
                <c:pt idx="66">
                  <c:v>1.32</c:v>
                </c:pt>
                <c:pt idx="67">
                  <c:v>1.34</c:v>
                </c:pt>
                <c:pt idx="68">
                  <c:v>1.36</c:v>
                </c:pt>
                <c:pt idx="69">
                  <c:v>1.38</c:v>
                </c:pt>
                <c:pt idx="70">
                  <c:v>1.4</c:v>
                </c:pt>
                <c:pt idx="71">
                  <c:v>1.42</c:v>
                </c:pt>
                <c:pt idx="72">
                  <c:v>1.44</c:v>
                </c:pt>
                <c:pt idx="73">
                  <c:v>1.46</c:v>
                </c:pt>
                <c:pt idx="74">
                  <c:v>1.48</c:v>
                </c:pt>
                <c:pt idx="75">
                  <c:v>1.5</c:v>
                </c:pt>
                <c:pt idx="76">
                  <c:v>1.52</c:v>
                </c:pt>
                <c:pt idx="77">
                  <c:v>1.54</c:v>
                </c:pt>
                <c:pt idx="78">
                  <c:v>1.56</c:v>
                </c:pt>
                <c:pt idx="79">
                  <c:v>1.58</c:v>
                </c:pt>
                <c:pt idx="80">
                  <c:v>1.6</c:v>
                </c:pt>
                <c:pt idx="81">
                  <c:v>1.62</c:v>
                </c:pt>
                <c:pt idx="82">
                  <c:v>1.64</c:v>
                </c:pt>
                <c:pt idx="83">
                  <c:v>1.66</c:v>
                </c:pt>
                <c:pt idx="84">
                  <c:v>1.68</c:v>
                </c:pt>
                <c:pt idx="85">
                  <c:v>1.7</c:v>
                </c:pt>
                <c:pt idx="86">
                  <c:v>1.72</c:v>
                </c:pt>
                <c:pt idx="87">
                  <c:v>1.74</c:v>
                </c:pt>
                <c:pt idx="88">
                  <c:v>1.76</c:v>
                </c:pt>
                <c:pt idx="89">
                  <c:v>1.78</c:v>
                </c:pt>
                <c:pt idx="90">
                  <c:v>1.8</c:v>
                </c:pt>
                <c:pt idx="91">
                  <c:v>1.82</c:v>
                </c:pt>
                <c:pt idx="92">
                  <c:v>1.84</c:v>
                </c:pt>
                <c:pt idx="93">
                  <c:v>1.86</c:v>
                </c:pt>
                <c:pt idx="94">
                  <c:v>1.88</c:v>
                </c:pt>
                <c:pt idx="95">
                  <c:v>1.9</c:v>
                </c:pt>
                <c:pt idx="96">
                  <c:v>1.92</c:v>
                </c:pt>
                <c:pt idx="97">
                  <c:v>1.94</c:v>
                </c:pt>
                <c:pt idx="98">
                  <c:v>1.96</c:v>
                </c:pt>
                <c:pt idx="99">
                  <c:v>1.98</c:v>
                </c:pt>
                <c:pt idx="100">
                  <c:v>2</c:v>
                </c:pt>
                <c:pt idx="101">
                  <c:v>2.02</c:v>
                </c:pt>
                <c:pt idx="102">
                  <c:v>2.04</c:v>
                </c:pt>
                <c:pt idx="103">
                  <c:v>2.06</c:v>
                </c:pt>
                <c:pt idx="104">
                  <c:v>2.08</c:v>
                </c:pt>
                <c:pt idx="105">
                  <c:v>2.1</c:v>
                </c:pt>
                <c:pt idx="106">
                  <c:v>2.12</c:v>
                </c:pt>
                <c:pt idx="107">
                  <c:v>2.14</c:v>
                </c:pt>
                <c:pt idx="108">
                  <c:v>2.16</c:v>
                </c:pt>
                <c:pt idx="109">
                  <c:v>2.18</c:v>
                </c:pt>
                <c:pt idx="110">
                  <c:v>2.2</c:v>
                </c:pt>
                <c:pt idx="111">
                  <c:v>2.22</c:v>
                </c:pt>
                <c:pt idx="112">
                  <c:v>2.24</c:v>
                </c:pt>
                <c:pt idx="113">
                  <c:v>2.26</c:v>
                </c:pt>
                <c:pt idx="114">
                  <c:v>2.28</c:v>
                </c:pt>
                <c:pt idx="115">
                  <c:v>2.3</c:v>
                </c:pt>
                <c:pt idx="116">
                  <c:v>2.32</c:v>
                </c:pt>
                <c:pt idx="117">
                  <c:v>2.34</c:v>
                </c:pt>
                <c:pt idx="118">
                  <c:v>2.36</c:v>
                </c:pt>
                <c:pt idx="119">
                  <c:v>2.38</c:v>
                </c:pt>
                <c:pt idx="120">
                  <c:v>2.4</c:v>
                </c:pt>
              </c:numCache>
            </c:numRef>
          </c:xVal>
          <c:yVal>
            <c:numRef>
              <c:f>0</c:f>
              <c:numCache>
                <c:formatCode>0.000</c:formatCode>
                <c:ptCount val="400"/>
                <c:pt idx="0">
                  <c:v>0</c:v>
                </c:pt>
                <c:pt idx="1">
                  <c:v>0</c:v>
                </c:pt>
                <c:pt idx="2">
                  <c:v>0</c:v>
                </c:pt>
                <c:pt idx="3">
                  <c:v>0.082</c:v>
                </c:pt>
                <c:pt idx="4">
                  <c:v>0.169</c:v>
                </c:pt>
                <c:pt idx="5">
                  <c:v>0.257</c:v>
                </c:pt>
                <c:pt idx="6">
                  <c:v>0.347</c:v>
                </c:pt>
                <c:pt idx="7">
                  <c:v>0.427</c:v>
                </c:pt>
                <c:pt idx="8">
                  <c:v>0.515</c:v>
                </c:pt>
                <c:pt idx="9">
                  <c:v>0.599</c:v>
                </c:pt>
                <c:pt idx="10">
                  <c:v>0.692</c:v>
                </c:pt>
                <c:pt idx="11">
                  <c:v>0.774</c:v>
                </c:pt>
                <c:pt idx="12">
                  <c:v>0.834</c:v>
                </c:pt>
                <c:pt idx="13">
                  <c:v>0.892</c:v>
                </c:pt>
                <c:pt idx="14">
                  <c:v>0.944</c:v>
                </c:pt>
                <c:pt idx="15">
                  <c:v>1.001</c:v>
                </c:pt>
                <c:pt idx="16">
                  <c:v>1.041</c:v>
                </c:pt>
                <c:pt idx="17">
                  <c:v>1.083</c:v>
                </c:pt>
                <c:pt idx="18">
                  <c:v>1.132</c:v>
                </c:pt>
                <c:pt idx="19">
                  <c:v>1.168</c:v>
                </c:pt>
                <c:pt idx="20">
                  <c:v>1.201</c:v>
                </c:pt>
                <c:pt idx="21">
                  <c:v>1.238</c:v>
                </c:pt>
                <c:pt idx="22">
                  <c:v>1.269</c:v>
                </c:pt>
                <c:pt idx="23">
                  <c:v>1.294</c:v>
                </c:pt>
                <c:pt idx="24">
                  <c:v>1.327</c:v>
                </c:pt>
                <c:pt idx="25">
                  <c:v>1.351</c:v>
                </c:pt>
                <c:pt idx="26">
                  <c:v>1.375</c:v>
                </c:pt>
                <c:pt idx="27">
                  <c:v>1.395</c:v>
                </c:pt>
                <c:pt idx="28">
                  <c:v>1.412</c:v>
                </c:pt>
                <c:pt idx="29">
                  <c:v>1.434</c:v>
                </c:pt>
                <c:pt idx="30">
                  <c:v>1.456</c:v>
                </c:pt>
                <c:pt idx="31">
                  <c:v>1.471</c:v>
                </c:pt>
                <c:pt idx="32">
                  <c:v>1.491</c:v>
                </c:pt>
                <c:pt idx="33">
                  <c:v>1.501</c:v>
                </c:pt>
                <c:pt idx="34">
                  <c:v>1.514</c:v>
                </c:pt>
                <c:pt idx="35">
                  <c:v>1.527</c:v>
                </c:pt>
                <c:pt idx="36">
                  <c:v>1.545</c:v>
                </c:pt>
                <c:pt idx="37">
                  <c:v>1.553</c:v>
                </c:pt>
                <c:pt idx="38">
                  <c:v>1.566</c:v>
                </c:pt>
                <c:pt idx="39">
                  <c:v>1.575</c:v>
                </c:pt>
                <c:pt idx="40">
                  <c:v>1.586</c:v>
                </c:pt>
                <c:pt idx="41">
                  <c:v>1.592</c:v>
                </c:pt>
                <c:pt idx="42">
                  <c:v>1.603</c:v>
                </c:pt>
                <c:pt idx="43">
                  <c:v>1.611</c:v>
                </c:pt>
                <c:pt idx="44">
                  <c:v>1.615</c:v>
                </c:pt>
                <c:pt idx="45">
                  <c:v>1.626</c:v>
                </c:pt>
                <c:pt idx="46">
                  <c:v>1.626</c:v>
                </c:pt>
                <c:pt idx="47">
                  <c:v>1.632</c:v>
                </c:pt>
                <c:pt idx="48">
                  <c:v>1.642</c:v>
                </c:pt>
                <c:pt idx="49">
                  <c:v>1.648</c:v>
                </c:pt>
                <c:pt idx="50">
                  <c:v>1.651</c:v>
                </c:pt>
                <c:pt idx="51">
                  <c:v>1.655</c:v>
                </c:pt>
                <c:pt idx="52">
                  <c:v>1.655</c:v>
                </c:pt>
                <c:pt idx="53">
                  <c:v>1.664</c:v>
                </c:pt>
                <c:pt idx="54">
                  <c:v>1.67</c:v>
                </c:pt>
                <c:pt idx="55">
                  <c:v>1.673</c:v>
                </c:pt>
                <c:pt idx="56">
                  <c:v>1.671</c:v>
                </c:pt>
                <c:pt idx="57">
                  <c:v>1.674</c:v>
                </c:pt>
                <c:pt idx="58">
                  <c:v>1.68</c:v>
                </c:pt>
                <c:pt idx="59">
                  <c:v>1.681</c:v>
                </c:pt>
                <c:pt idx="60">
                  <c:v>1.687</c:v>
                </c:pt>
                <c:pt idx="61">
                  <c:v>1.686</c:v>
                </c:pt>
                <c:pt idx="62">
                  <c:v>1.692</c:v>
                </c:pt>
                <c:pt idx="63">
                  <c:v>1.694</c:v>
                </c:pt>
                <c:pt idx="64">
                  <c:v>1.693</c:v>
                </c:pt>
                <c:pt idx="65">
                  <c:v>1.69</c:v>
                </c:pt>
                <c:pt idx="66">
                  <c:v>1.693</c:v>
                </c:pt>
                <c:pt idx="67">
                  <c:v>1.7</c:v>
                </c:pt>
                <c:pt idx="68">
                  <c:v>1.699</c:v>
                </c:pt>
                <c:pt idx="69">
                  <c:v>1.701</c:v>
                </c:pt>
                <c:pt idx="70">
                  <c:v>1.702</c:v>
                </c:pt>
                <c:pt idx="71">
                  <c:v>1.705</c:v>
                </c:pt>
                <c:pt idx="72">
                  <c:v>1.704</c:v>
                </c:pt>
                <c:pt idx="73">
                  <c:v>1.703</c:v>
                </c:pt>
                <c:pt idx="74">
                  <c:v>1.706</c:v>
                </c:pt>
                <c:pt idx="75">
                  <c:v>1.709</c:v>
                </c:pt>
                <c:pt idx="76">
                  <c:v>1.707</c:v>
                </c:pt>
                <c:pt idx="77">
                  <c:v>1.708</c:v>
                </c:pt>
                <c:pt idx="78">
                  <c:v>1.711</c:v>
                </c:pt>
                <c:pt idx="79">
                  <c:v>1.71</c:v>
                </c:pt>
                <c:pt idx="80">
                  <c:v>1.714</c:v>
                </c:pt>
                <c:pt idx="81">
                  <c:v>1.714</c:v>
                </c:pt>
                <c:pt idx="82">
                  <c:v>1.71</c:v>
                </c:pt>
                <c:pt idx="83">
                  <c:v>1.716</c:v>
                </c:pt>
                <c:pt idx="84">
                  <c:v>1.71</c:v>
                </c:pt>
                <c:pt idx="85">
                  <c:v>1.713</c:v>
                </c:pt>
                <c:pt idx="86">
                  <c:v>1.712</c:v>
                </c:pt>
                <c:pt idx="87">
                  <c:v>1.715</c:v>
                </c:pt>
                <c:pt idx="88">
                  <c:v>1.718</c:v>
                </c:pt>
                <c:pt idx="89">
                  <c:v>1.717</c:v>
                </c:pt>
                <c:pt idx="90">
                  <c:v>1.712</c:v>
                </c:pt>
                <c:pt idx="91">
                  <c:v>1.719</c:v>
                </c:pt>
                <c:pt idx="92">
                  <c:v>1.719</c:v>
                </c:pt>
                <c:pt idx="93">
                  <c:v>1.716</c:v>
                </c:pt>
                <c:pt idx="94">
                  <c:v>1.719</c:v>
                </c:pt>
                <c:pt idx="95">
                  <c:v>1.716</c:v>
                </c:pt>
                <c:pt idx="96">
                  <c:v>1.715</c:v>
                </c:pt>
                <c:pt idx="97">
                  <c:v>1.715</c:v>
                </c:pt>
                <c:pt idx="98">
                  <c:v>1.713</c:v>
                </c:pt>
                <c:pt idx="99">
                  <c:v>1.717</c:v>
                </c:pt>
                <c:pt idx="100">
                  <c:v>1.716</c:v>
                </c:pt>
                <c:pt idx="101">
                  <c:v>1.718</c:v>
                </c:pt>
                <c:pt idx="102">
                  <c:v>1.722</c:v>
                </c:pt>
                <c:pt idx="103">
                  <c:v>1.722</c:v>
                </c:pt>
                <c:pt idx="104">
                  <c:v>1.716</c:v>
                </c:pt>
                <c:pt idx="105">
                  <c:v>1.72</c:v>
                </c:pt>
                <c:pt idx="106">
                  <c:v>1.715</c:v>
                </c:pt>
                <c:pt idx="107">
                  <c:v>1.722</c:v>
                </c:pt>
                <c:pt idx="108">
                  <c:v>1.717</c:v>
                </c:pt>
                <c:pt idx="109">
                  <c:v>1.722</c:v>
                </c:pt>
                <c:pt idx="110">
                  <c:v>1.72</c:v>
                </c:pt>
                <c:pt idx="111">
                  <c:v>1.715</c:v>
                </c:pt>
                <c:pt idx="112">
                  <c:v>1.718</c:v>
                </c:pt>
                <c:pt idx="113">
                  <c:v>1.722</c:v>
                </c:pt>
                <c:pt idx="114">
                  <c:v>1.721</c:v>
                </c:pt>
                <c:pt idx="115">
                  <c:v>1.722</c:v>
                </c:pt>
                <c:pt idx="116">
                  <c:v>1.722</c:v>
                </c:pt>
                <c:pt idx="117">
                  <c:v>1.718</c:v>
                </c:pt>
                <c:pt idx="118">
                  <c:v>1.723</c:v>
                </c:pt>
                <c:pt idx="119">
                  <c:v>1.716</c:v>
                </c:pt>
                <c:pt idx="120">
                  <c:v>1.717</c:v>
                </c:pt>
              </c:numCache>
            </c:numRef>
          </c:yVal>
          <c:smooth val="1"/>
        </c:ser>
        <c:axId val="88304229"/>
        <c:axId val="60425186"/>
      </c:scatterChart>
      <c:valAx>
        <c:axId val="88304229"/>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 [s]</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425186"/>
        <c:crosses val="autoZero"/>
        <c:crossBetween val="midCat"/>
      </c:valAx>
      <c:valAx>
        <c:axId val="6042518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 [m/s]</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30422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18</xdr:row>
      <xdr:rowOff>145080</xdr:rowOff>
    </xdr:from>
    <xdr:to>
      <xdr:col>16</xdr:col>
      <xdr:colOff>72720</xdr:colOff>
      <xdr:row>35</xdr:row>
      <xdr:rowOff>33480</xdr:rowOff>
    </xdr:to>
    <xdr:graphicFrame>
      <xdr:nvGraphicFramePr>
        <xdr:cNvPr id="0" name="Chart 1"/>
        <xdr:cNvGraphicFramePr/>
      </xdr:nvGraphicFramePr>
      <xdr:xfrm>
        <a:off x="7048440" y="3993120"/>
        <a:ext cx="5759280" cy="3231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11</xdr:row>
      <xdr:rowOff>160560</xdr:rowOff>
    </xdr:from>
    <xdr:to>
      <xdr:col>20</xdr:col>
      <xdr:colOff>4320</xdr:colOff>
      <xdr:row>27</xdr:row>
      <xdr:rowOff>97200</xdr:rowOff>
    </xdr:to>
    <xdr:graphicFrame>
      <xdr:nvGraphicFramePr>
        <xdr:cNvPr id="1" name="Chart 1"/>
        <xdr:cNvGraphicFramePr/>
      </xdr:nvGraphicFramePr>
      <xdr:xfrm>
        <a:off x="11466360" y="2703600"/>
        <a:ext cx="6119280" cy="3232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4</xdr:row>
      <xdr:rowOff>160560</xdr:rowOff>
    </xdr:from>
    <xdr:to>
      <xdr:col>21</xdr:col>
      <xdr:colOff>507240</xdr:colOff>
      <xdr:row>18</xdr:row>
      <xdr:rowOff>118440</xdr:rowOff>
    </xdr:to>
    <xdr:graphicFrame>
      <xdr:nvGraphicFramePr>
        <xdr:cNvPr id="2" name="Chart 1"/>
        <xdr:cNvGraphicFramePr/>
      </xdr:nvGraphicFramePr>
      <xdr:xfrm>
        <a:off x="10972800" y="951120"/>
        <a:ext cx="5399280" cy="2872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14</xdr:col>
      <xdr:colOff>507240</xdr:colOff>
      <xdr:row>17</xdr:row>
      <xdr:rowOff>70200</xdr:rowOff>
    </xdr:to>
    <xdr:graphicFrame>
      <xdr:nvGraphicFramePr>
        <xdr:cNvPr id="3" name="Chart 1"/>
        <xdr:cNvGraphicFramePr/>
      </xdr:nvGraphicFramePr>
      <xdr:xfrm>
        <a:off x="6955200" y="570600"/>
        <a:ext cx="539928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5.vml"/>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28"/>
    <col collapsed="false" customWidth="true" hidden="false" outlineLevel="0" max="4" min="4" style="1" width="32"/>
    <col collapsed="false" customWidth="true" hidden="false" outlineLevel="0" max="5" min="5" style="1" width="30"/>
    <col collapsed="false" customWidth="true" hidden="false" outlineLevel="0" max="6" min="6" style="1" width="60"/>
    <col collapsed="false" customWidth="true" hidden="false" outlineLevel="0" max="7" min="7" style="1" width="18"/>
    <col collapsed="false" customWidth="true" hidden="false" outlineLevel="0" max="8" min="8" style="1" width="12"/>
  </cols>
  <sheetData>
    <row r="1" customFormat="false" ht="17.25" hidden="false" customHeight="true" outlineLevel="0" collapsed="false">
      <c r="A1" s="2" t="s">
        <v>23</v>
      </c>
    </row>
    <row r="2" customFormat="false" ht="15" hidden="false" customHeight="true" outlineLevel="0" collapsed="false">
      <c r="A2" s="3" t="s">
        <v>24</v>
      </c>
    </row>
    <row r="4" customFormat="false" ht="15" hidden="false" customHeight="true" outlineLevel="0" collapsed="false">
      <c r="A4" s="11" t="s">
        <v>25</v>
      </c>
      <c r="B4" s="11" t="s">
        <v>26</v>
      </c>
      <c r="C4" s="11" t="s">
        <v>27</v>
      </c>
      <c r="D4" s="11" t="s">
        <v>28</v>
      </c>
      <c r="E4" s="11" t="s">
        <v>29</v>
      </c>
      <c r="F4" s="11" t="s">
        <v>30</v>
      </c>
      <c r="G4" s="11" t="s">
        <v>31</v>
      </c>
      <c r="H4" s="11" t="s">
        <v>32</v>
      </c>
    </row>
    <row r="5" customFormat="false" ht="34.5" hidden="false" customHeight="true" outlineLevel="0" collapsed="false">
      <c r="A5" s="12" t="s">
        <v>33</v>
      </c>
      <c r="B5" s="12" t="s">
        <v>34</v>
      </c>
      <c r="C5" s="13" t="s">
        <v>35</v>
      </c>
      <c r="D5" s="12" t="s">
        <v>36</v>
      </c>
      <c r="E5" s="12" t="s">
        <v>37</v>
      </c>
      <c r="F5" s="12" t="s">
        <v>38</v>
      </c>
      <c r="G5" s="12" t="s">
        <v>39</v>
      </c>
      <c r="H5" s="14" t="s">
        <v>40</v>
      </c>
    </row>
    <row r="6" customFormat="false" ht="45.75" hidden="false" customHeight="true" outlineLevel="0" collapsed="false">
      <c r="A6" s="12" t="s">
        <v>41</v>
      </c>
      <c r="B6" s="12" t="s">
        <v>34</v>
      </c>
      <c r="C6" s="13" t="s">
        <v>42</v>
      </c>
      <c r="D6" s="12" t="s">
        <v>43</v>
      </c>
      <c r="E6" s="12" t="s">
        <v>44</v>
      </c>
      <c r="F6" s="12" t="s">
        <v>45</v>
      </c>
      <c r="G6" s="12" t="s">
        <v>39</v>
      </c>
      <c r="H6" s="14" t="s">
        <v>40</v>
      </c>
    </row>
    <row r="7" customFormat="false" ht="57" hidden="false" customHeight="true" outlineLevel="0" collapsed="false">
      <c r="A7" s="12" t="s">
        <v>46</v>
      </c>
      <c r="B7" s="12" t="s">
        <v>34</v>
      </c>
      <c r="C7" s="13" t="s">
        <v>47</v>
      </c>
      <c r="D7" s="12" t="s">
        <v>48</v>
      </c>
      <c r="E7" s="12" t="s">
        <v>49</v>
      </c>
      <c r="F7" s="12" t="s">
        <v>50</v>
      </c>
      <c r="G7" s="12" t="s">
        <v>39</v>
      </c>
      <c r="H7" s="14" t="s">
        <v>51</v>
      </c>
    </row>
    <row r="8" customFormat="false" ht="34.5" hidden="false" customHeight="true" outlineLevel="0" collapsed="false">
      <c r="A8" s="12" t="s">
        <v>52</v>
      </c>
      <c r="B8" s="12" t="s">
        <v>34</v>
      </c>
      <c r="C8" s="13" t="s">
        <v>53</v>
      </c>
      <c r="D8" s="12" t="s">
        <v>54</v>
      </c>
      <c r="E8" s="12" t="s">
        <v>55</v>
      </c>
      <c r="F8" s="12" t="s">
        <v>56</v>
      </c>
      <c r="G8" s="12" t="s">
        <v>57</v>
      </c>
      <c r="H8" s="14" t="s">
        <v>40</v>
      </c>
    </row>
    <row r="9" customFormat="false" ht="45.75" hidden="false" customHeight="true" outlineLevel="0" collapsed="false">
      <c r="A9" s="12" t="s">
        <v>58</v>
      </c>
      <c r="B9" s="12" t="s">
        <v>34</v>
      </c>
      <c r="C9" s="13" t="s">
        <v>59</v>
      </c>
      <c r="D9" s="12" t="s">
        <v>60</v>
      </c>
      <c r="E9" s="12" t="s">
        <v>61</v>
      </c>
      <c r="F9" s="12" t="s">
        <v>62</v>
      </c>
      <c r="G9" s="12" t="s">
        <v>63</v>
      </c>
      <c r="H9" s="14" t="s">
        <v>40</v>
      </c>
    </row>
    <row r="10" customFormat="false" ht="45.75" hidden="false" customHeight="true" outlineLevel="0" collapsed="false">
      <c r="A10" s="12" t="s">
        <v>64</v>
      </c>
      <c r="B10" s="12" t="s">
        <v>34</v>
      </c>
      <c r="C10" s="13" t="s">
        <v>65</v>
      </c>
      <c r="D10" s="12" t="s">
        <v>66</v>
      </c>
      <c r="E10" s="12" t="s">
        <v>67</v>
      </c>
      <c r="F10" s="12" t="s">
        <v>68</v>
      </c>
      <c r="G10" s="12" t="s">
        <v>69</v>
      </c>
      <c r="H10" s="14" t="s">
        <v>40</v>
      </c>
    </row>
    <row r="11" customFormat="false" ht="34.5" hidden="false" customHeight="true" outlineLevel="0" collapsed="false">
      <c r="A11" s="12" t="s">
        <v>70</v>
      </c>
      <c r="B11" s="12" t="s">
        <v>34</v>
      </c>
      <c r="C11" s="13" t="s">
        <v>71</v>
      </c>
      <c r="D11" s="12" t="s">
        <v>72</v>
      </c>
      <c r="E11" s="12" t="s">
        <v>73</v>
      </c>
      <c r="F11" s="12" t="s">
        <v>74</v>
      </c>
      <c r="G11" s="12" t="s">
        <v>75</v>
      </c>
      <c r="H11" s="14" t="s">
        <v>40</v>
      </c>
    </row>
    <row r="12" customFormat="false" ht="45.75" hidden="false" customHeight="true" outlineLevel="0" collapsed="false">
      <c r="A12" s="12" t="s">
        <v>76</v>
      </c>
      <c r="B12" s="12" t="s">
        <v>34</v>
      </c>
      <c r="C12" s="13" t="s">
        <v>77</v>
      </c>
      <c r="D12" s="12" t="s">
        <v>78</v>
      </c>
      <c r="E12" s="12" t="s">
        <v>79</v>
      </c>
      <c r="F12" s="12" t="s">
        <v>80</v>
      </c>
      <c r="G12" s="12" t="s">
        <v>81</v>
      </c>
      <c r="H12" s="14" t="s">
        <v>40</v>
      </c>
    </row>
    <row r="13" customFormat="false" ht="23.25" hidden="false" customHeight="true" outlineLevel="0" collapsed="false">
      <c r="A13" s="12" t="s">
        <v>82</v>
      </c>
      <c r="B13" s="12" t="s">
        <v>83</v>
      </c>
      <c r="C13" s="13" t="s">
        <v>84</v>
      </c>
      <c r="D13" s="12" t="s">
        <v>85</v>
      </c>
      <c r="E13" s="12" t="s">
        <v>86</v>
      </c>
      <c r="F13" s="12" t="s">
        <v>87</v>
      </c>
      <c r="G13" s="12" t="s">
        <v>69</v>
      </c>
      <c r="H13" s="14" t="s">
        <v>40</v>
      </c>
    </row>
    <row r="14" customFormat="false" ht="34.5" hidden="false" customHeight="true" outlineLevel="0" collapsed="false">
      <c r="A14" s="12" t="s">
        <v>88</v>
      </c>
      <c r="B14" s="12" t="s">
        <v>83</v>
      </c>
      <c r="C14" s="13" t="s">
        <v>89</v>
      </c>
      <c r="D14" s="12" t="s">
        <v>90</v>
      </c>
      <c r="E14" s="12" t="s">
        <v>91</v>
      </c>
      <c r="F14" s="12" t="s">
        <v>92</v>
      </c>
      <c r="G14" s="12" t="s">
        <v>57</v>
      </c>
      <c r="H14" s="14" t="s">
        <v>93</v>
      </c>
    </row>
    <row r="15" customFormat="false" ht="23.25" hidden="false" customHeight="true" outlineLevel="0" collapsed="false">
      <c r="A15" s="12" t="s">
        <v>94</v>
      </c>
      <c r="B15" s="12" t="s">
        <v>83</v>
      </c>
      <c r="C15" s="13" t="s">
        <v>95</v>
      </c>
      <c r="D15" s="12" t="s">
        <v>96</v>
      </c>
      <c r="E15" s="12" t="s">
        <v>97</v>
      </c>
      <c r="F15" s="12" t="s">
        <v>98</v>
      </c>
      <c r="G15" s="12" t="s">
        <v>57</v>
      </c>
      <c r="H15" s="14" t="s">
        <v>40</v>
      </c>
    </row>
    <row r="16" customFormat="false" ht="34.5" hidden="false" customHeight="true" outlineLevel="0" collapsed="false">
      <c r="A16" s="12" t="s">
        <v>99</v>
      </c>
      <c r="B16" s="12" t="s">
        <v>83</v>
      </c>
      <c r="C16" s="13" t="s">
        <v>100</v>
      </c>
      <c r="D16" s="12" t="s">
        <v>101</v>
      </c>
      <c r="E16" s="12" t="s">
        <v>102</v>
      </c>
      <c r="F16" s="12" t="s">
        <v>103</v>
      </c>
      <c r="G16" s="12" t="s">
        <v>81</v>
      </c>
      <c r="H16" s="14" t="s">
        <v>40</v>
      </c>
    </row>
    <row r="17" customFormat="false" ht="23.25" hidden="false" customHeight="true" outlineLevel="0" collapsed="false">
      <c r="A17" s="12" t="s">
        <v>104</v>
      </c>
      <c r="B17" s="12" t="s">
        <v>83</v>
      </c>
      <c r="C17" s="13" t="s">
        <v>105</v>
      </c>
      <c r="D17" s="12" t="s">
        <v>106</v>
      </c>
      <c r="E17" s="12" t="s">
        <v>107</v>
      </c>
      <c r="F17" s="12" t="s">
        <v>108</v>
      </c>
      <c r="G17" s="12" t="s">
        <v>63</v>
      </c>
      <c r="H17" s="14" t="s">
        <v>40</v>
      </c>
    </row>
    <row r="18" customFormat="false" ht="34.5" hidden="false" customHeight="true" outlineLevel="0" collapsed="false">
      <c r="A18" s="12" t="s">
        <v>109</v>
      </c>
      <c r="B18" s="12" t="s">
        <v>83</v>
      </c>
      <c r="C18" s="13" t="s">
        <v>110</v>
      </c>
      <c r="D18" s="12" t="s">
        <v>111</v>
      </c>
      <c r="E18" s="12" t="s">
        <v>112</v>
      </c>
      <c r="F18" s="12" t="s">
        <v>113</v>
      </c>
      <c r="G18" s="12" t="s">
        <v>114</v>
      </c>
      <c r="H18" s="14" t="s">
        <v>115</v>
      </c>
    </row>
    <row r="19" customFormat="false" ht="34.5" hidden="false" customHeight="true" outlineLevel="0" collapsed="false">
      <c r="A19" s="12" t="s">
        <v>116</v>
      </c>
      <c r="B19" s="12" t="s">
        <v>117</v>
      </c>
      <c r="C19" s="13" t="s">
        <v>118</v>
      </c>
      <c r="D19" s="12" t="s">
        <v>119</v>
      </c>
      <c r="E19" s="12" t="s">
        <v>120</v>
      </c>
      <c r="F19" s="12" t="s">
        <v>121</v>
      </c>
      <c r="G19" s="12" t="s">
        <v>122</v>
      </c>
      <c r="H19" s="14" t="s">
        <v>115</v>
      </c>
    </row>
    <row r="20" customFormat="false" ht="34.5" hidden="false" customHeight="true" outlineLevel="0" collapsed="false">
      <c r="A20" s="12" t="s">
        <v>123</v>
      </c>
      <c r="B20" s="12" t="s">
        <v>117</v>
      </c>
      <c r="C20" s="13" t="s">
        <v>124</v>
      </c>
      <c r="D20" s="12" t="s">
        <v>125</v>
      </c>
      <c r="E20" s="12" t="s">
        <v>126</v>
      </c>
      <c r="F20" s="12" t="s">
        <v>127</v>
      </c>
      <c r="G20" s="12" t="s">
        <v>114</v>
      </c>
      <c r="H20" s="14" t="s">
        <v>115</v>
      </c>
    </row>
    <row r="21" customFormat="false" ht="23.25" hidden="false" customHeight="true" outlineLevel="0" collapsed="false">
      <c r="A21" s="12" t="s">
        <v>128</v>
      </c>
      <c r="B21" s="12" t="s">
        <v>117</v>
      </c>
      <c r="C21" s="13" t="s">
        <v>129</v>
      </c>
      <c r="D21" s="12" t="s">
        <v>130</v>
      </c>
      <c r="E21" s="12" t="s">
        <v>131</v>
      </c>
      <c r="F21" s="12" t="s">
        <v>132</v>
      </c>
      <c r="G21" s="12" t="s">
        <v>81</v>
      </c>
      <c r="H21" s="14" t="s">
        <v>40</v>
      </c>
    </row>
    <row r="22" customFormat="false" ht="34.5" hidden="false" customHeight="true" outlineLevel="0" collapsed="false">
      <c r="A22" s="12" t="s">
        <v>133</v>
      </c>
      <c r="B22" s="12" t="s">
        <v>83</v>
      </c>
      <c r="C22" s="13" t="s">
        <v>134</v>
      </c>
      <c r="D22" s="12" t="s">
        <v>135</v>
      </c>
      <c r="E22" s="12" t="s">
        <v>136</v>
      </c>
      <c r="F22" s="12" t="s">
        <v>137</v>
      </c>
      <c r="G22" s="12" t="s">
        <v>39</v>
      </c>
      <c r="H22" s="14" t="s">
        <v>115</v>
      </c>
    </row>
    <row r="23" customFormat="false" ht="23.25" hidden="false" customHeight="true" outlineLevel="0" collapsed="false">
      <c r="A23" s="12" t="s">
        <v>138</v>
      </c>
      <c r="B23" s="12" t="s">
        <v>117</v>
      </c>
      <c r="C23" s="13" t="s">
        <v>139</v>
      </c>
      <c r="D23" s="12" t="s">
        <v>140</v>
      </c>
      <c r="E23" s="12" t="s">
        <v>141</v>
      </c>
      <c r="F23" s="12" t="s">
        <v>142</v>
      </c>
      <c r="G23" s="12" t="s">
        <v>122</v>
      </c>
      <c r="H23" s="14" t="s">
        <v>40</v>
      </c>
    </row>
    <row r="25" customFormat="false" ht="15" hidden="false" customHeight="true" outlineLevel="0" collapsed="false">
      <c r="A25" s="15" t="s">
        <v>143</v>
      </c>
    </row>
    <row r="26" customFormat="false" ht="15" hidden="false" customHeight="true" outlineLevel="0" collapsed="false">
      <c r="A26" s="11" t="s">
        <v>25</v>
      </c>
      <c r="B26" s="11" t="s">
        <v>26</v>
      </c>
      <c r="C26" s="11" t="s">
        <v>144</v>
      </c>
      <c r="D26" s="11" t="s">
        <v>145</v>
      </c>
      <c r="E26" s="11" t="s">
        <v>146</v>
      </c>
      <c r="F26" s="11" t="s">
        <v>147</v>
      </c>
      <c r="G26" s="11" t="s">
        <v>148</v>
      </c>
      <c r="H26" s="11" t="s">
        <v>32</v>
      </c>
    </row>
    <row r="27" customFormat="false" ht="23.25" hidden="false" customHeight="true" outlineLevel="0" collapsed="false">
      <c r="A27" s="12" t="s">
        <v>149</v>
      </c>
      <c r="B27" s="12" t="s">
        <v>34</v>
      </c>
      <c r="C27" s="13" t="s">
        <v>150</v>
      </c>
      <c r="D27" s="12" t="s">
        <v>151</v>
      </c>
      <c r="E27" s="12" t="s">
        <v>152</v>
      </c>
      <c r="F27" s="12" t="s">
        <v>153</v>
      </c>
      <c r="G27" s="12" t="s">
        <v>39</v>
      </c>
      <c r="H27" s="14" t="s">
        <v>115</v>
      </c>
    </row>
    <row r="28" customFormat="false" ht="23.25" hidden="false" customHeight="true" outlineLevel="0" collapsed="false">
      <c r="A28" s="12" t="s">
        <v>154</v>
      </c>
      <c r="B28" s="12" t="s">
        <v>34</v>
      </c>
      <c r="C28" s="13" t="s">
        <v>155</v>
      </c>
      <c r="D28" s="12" t="s">
        <v>156</v>
      </c>
      <c r="E28" s="12" t="s">
        <v>157</v>
      </c>
      <c r="F28" s="12" t="s">
        <v>158</v>
      </c>
      <c r="G28" s="12" t="s">
        <v>159</v>
      </c>
      <c r="H28" s="14" t="s">
        <v>115</v>
      </c>
    </row>
    <row r="29" customFormat="false" ht="23.25" hidden="false" customHeight="true" outlineLevel="0" collapsed="false">
      <c r="A29" s="12" t="s">
        <v>160</v>
      </c>
      <c r="B29" s="12" t="s">
        <v>34</v>
      </c>
      <c r="C29" s="13" t="s">
        <v>161</v>
      </c>
      <c r="D29" s="12" t="s">
        <v>162</v>
      </c>
      <c r="E29" s="12" t="s">
        <v>163</v>
      </c>
      <c r="F29" s="12" t="s">
        <v>164</v>
      </c>
      <c r="G29" s="12" t="s">
        <v>165</v>
      </c>
      <c r="H29" s="14" t="s">
        <v>115</v>
      </c>
    </row>
    <row r="30" customFormat="false" ht="23.25" hidden="false" customHeight="true" outlineLevel="0" collapsed="false">
      <c r="A30" s="12" t="s">
        <v>166</v>
      </c>
      <c r="B30" s="12" t="s">
        <v>34</v>
      </c>
      <c r="C30" s="13" t="s">
        <v>167</v>
      </c>
      <c r="D30" s="12" t="s">
        <v>168</v>
      </c>
      <c r="E30" s="12" t="s">
        <v>169</v>
      </c>
      <c r="F30" s="12" t="s">
        <v>170</v>
      </c>
      <c r="G30" s="12" t="s">
        <v>57</v>
      </c>
      <c r="H30" s="14" t="s">
        <v>115</v>
      </c>
    </row>
    <row r="31" customFormat="false" ht="15" hidden="false" customHeight="true" outlineLevel="0" collapsed="false">
      <c r="A31" s="12" t="s">
        <v>171</v>
      </c>
      <c r="B31" s="12" t="s">
        <v>34</v>
      </c>
      <c r="C31" s="13" t="s">
        <v>172</v>
      </c>
      <c r="D31" s="12" t="s">
        <v>173</v>
      </c>
      <c r="E31" s="12" t="s">
        <v>70</v>
      </c>
      <c r="F31" s="12" t="s">
        <v>174</v>
      </c>
      <c r="G31" s="12" t="s">
        <v>175</v>
      </c>
      <c r="H31" s="14" t="s">
        <v>115</v>
      </c>
    </row>
    <row r="32" customFormat="false" ht="23.25" hidden="false" customHeight="true" outlineLevel="0" collapsed="false">
      <c r="A32" s="12" t="s">
        <v>176</v>
      </c>
      <c r="B32" s="12" t="s">
        <v>34</v>
      </c>
      <c r="C32" s="13" t="s">
        <v>177</v>
      </c>
      <c r="D32" s="12" t="s">
        <v>178</v>
      </c>
      <c r="E32" s="12" t="s">
        <v>179</v>
      </c>
      <c r="F32" s="12" t="s">
        <v>180</v>
      </c>
      <c r="G32" s="12" t="s">
        <v>57</v>
      </c>
      <c r="H32" s="14" t="s">
        <v>115</v>
      </c>
    </row>
    <row r="33" customFormat="false" ht="23.25" hidden="false" customHeight="true" outlineLevel="0" collapsed="false">
      <c r="A33" s="12" t="s">
        <v>181</v>
      </c>
      <c r="B33" s="12" t="s">
        <v>34</v>
      </c>
      <c r="C33" s="13" t="s">
        <v>182</v>
      </c>
      <c r="D33" s="12" t="s">
        <v>183</v>
      </c>
      <c r="E33" s="12" t="s">
        <v>184</v>
      </c>
      <c r="F33" s="12" t="s">
        <v>185</v>
      </c>
      <c r="G33" s="12" t="s">
        <v>81</v>
      </c>
      <c r="H33" s="14" t="s">
        <v>115</v>
      </c>
    </row>
    <row r="34" customFormat="false" ht="15" hidden="false" customHeight="true" outlineLevel="0" collapsed="false">
      <c r="A34" s="12" t="s">
        <v>186</v>
      </c>
      <c r="B34" s="12" t="s">
        <v>83</v>
      </c>
      <c r="C34" s="13" t="s">
        <v>187</v>
      </c>
      <c r="D34" s="12" t="s">
        <v>188</v>
      </c>
      <c r="E34" s="12" t="s">
        <v>76</v>
      </c>
      <c r="F34" s="12" t="s">
        <v>189</v>
      </c>
      <c r="G34" s="12" t="s">
        <v>81</v>
      </c>
      <c r="H34" s="14" t="s">
        <v>115</v>
      </c>
    </row>
    <row r="35" customFormat="false" ht="23.25" hidden="false" customHeight="true" outlineLevel="0" collapsed="false">
      <c r="A35" s="12" t="s">
        <v>190</v>
      </c>
      <c r="B35" s="12" t="s">
        <v>83</v>
      </c>
      <c r="C35" s="13" t="s">
        <v>191</v>
      </c>
      <c r="D35" s="12" t="s">
        <v>192</v>
      </c>
      <c r="E35" s="12" t="s">
        <v>193</v>
      </c>
      <c r="F35" s="12" t="s">
        <v>194</v>
      </c>
      <c r="G35" s="12" t="s">
        <v>81</v>
      </c>
      <c r="H35" s="14" t="s">
        <v>115</v>
      </c>
    </row>
    <row r="36" customFormat="false" ht="15" hidden="false" customHeight="true" outlineLevel="0" collapsed="false">
      <c r="A36" s="12" t="s">
        <v>195</v>
      </c>
      <c r="B36" s="12" t="s">
        <v>83</v>
      </c>
      <c r="C36" s="13" t="s">
        <v>196</v>
      </c>
      <c r="D36" s="12" t="s">
        <v>197</v>
      </c>
      <c r="E36" s="12" t="s">
        <v>82</v>
      </c>
      <c r="F36" s="12" t="s">
        <v>198</v>
      </c>
      <c r="G36" s="12" t="s">
        <v>69</v>
      </c>
      <c r="H36" s="14" t="s">
        <v>115</v>
      </c>
    </row>
    <row r="37" customFormat="false" ht="23.25" hidden="false" customHeight="true" outlineLevel="0" collapsed="false">
      <c r="A37" s="12" t="s">
        <v>199</v>
      </c>
      <c r="B37" s="12" t="s">
        <v>83</v>
      </c>
      <c r="C37" s="13" t="s">
        <v>200</v>
      </c>
      <c r="D37" s="12" t="s">
        <v>201</v>
      </c>
      <c r="E37" s="12" t="s">
        <v>52</v>
      </c>
      <c r="F37" s="12" t="s">
        <v>202</v>
      </c>
      <c r="G37" s="12" t="s">
        <v>57</v>
      </c>
      <c r="H37" s="14" t="s">
        <v>115</v>
      </c>
    </row>
    <row r="38" customFormat="false" ht="23.25" hidden="false" customHeight="true" outlineLevel="0" collapsed="false">
      <c r="A38" s="12" t="s">
        <v>203</v>
      </c>
      <c r="B38" s="12" t="s">
        <v>83</v>
      </c>
      <c r="C38" s="13" t="s">
        <v>204</v>
      </c>
      <c r="D38" s="12" t="s">
        <v>205</v>
      </c>
      <c r="E38" s="12" t="s">
        <v>94</v>
      </c>
      <c r="F38" s="12" t="s">
        <v>206</v>
      </c>
      <c r="G38" s="12" t="s">
        <v>57</v>
      </c>
      <c r="H38" s="14" t="s">
        <v>115</v>
      </c>
    </row>
    <row r="39" customFormat="false" ht="15" hidden="false" customHeight="true" outlineLevel="0" collapsed="false">
      <c r="A39" s="12" t="s">
        <v>207</v>
      </c>
      <c r="B39" s="12" t="s">
        <v>83</v>
      </c>
      <c r="C39" s="13" t="s">
        <v>208</v>
      </c>
      <c r="D39" s="12" t="s">
        <v>209</v>
      </c>
      <c r="E39" s="12" t="s">
        <v>210</v>
      </c>
      <c r="F39" s="12" t="s">
        <v>211</v>
      </c>
      <c r="G39" s="12" t="s">
        <v>212</v>
      </c>
      <c r="H39" s="14" t="s">
        <v>115</v>
      </c>
    </row>
    <row r="41" customFormat="false" ht="15" hidden="false" customHeight="true" outlineLevel="0" collapsed="false">
      <c r="A41" s="15" t="s">
        <v>213</v>
      </c>
    </row>
    <row r="42" customFormat="false" ht="15" hidden="false" customHeight="true" outlineLevel="0" collapsed="false">
      <c r="A42" s="14" t="s">
        <v>214</v>
      </c>
      <c r="B42" s="16" t="s">
        <v>215</v>
      </c>
      <c r="C42" s="16"/>
      <c r="D42" s="16"/>
      <c r="E42" s="16"/>
      <c r="F42" s="16"/>
      <c r="G42" s="16"/>
    </row>
    <row r="43" customFormat="false" ht="15" hidden="false" customHeight="true" outlineLevel="0" collapsed="false">
      <c r="A43" s="14" t="s">
        <v>214</v>
      </c>
      <c r="B43" s="16" t="s">
        <v>216</v>
      </c>
      <c r="C43" s="16"/>
      <c r="D43" s="16"/>
      <c r="E43" s="16"/>
      <c r="F43" s="16"/>
      <c r="G43" s="16"/>
    </row>
    <row r="44" customFormat="false" ht="15" hidden="false" customHeight="true" outlineLevel="0" collapsed="false">
      <c r="A44" s="14" t="s">
        <v>214</v>
      </c>
      <c r="B44" s="16" t="s">
        <v>217</v>
      </c>
      <c r="C44" s="16"/>
      <c r="D44" s="16"/>
      <c r="E44" s="16"/>
      <c r="F44" s="16"/>
      <c r="G44" s="16"/>
    </row>
    <row r="45" customFormat="false" ht="15" hidden="false" customHeight="true" outlineLevel="0" collapsed="false">
      <c r="A45" s="14" t="s">
        <v>214</v>
      </c>
      <c r="B45" s="16" t="s">
        <v>218</v>
      </c>
      <c r="C45" s="16"/>
      <c r="D45" s="16"/>
      <c r="E45" s="16"/>
      <c r="F45" s="16"/>
      <c r="G45" s="16"/>
    </row>
    <row r="46" customFormat="false" ht="15" hidden="false" customHeight="true" outlineLevel="0" collapsed="false">
      <c r="A46" s="14" t="s">
        <v>214</v>
      </c>
      <c r="B46" s="16" t="s">
        <v>219</v>
      </c>
      <c r="C46" s="16"/>
      <c r="D46" s="16"/>
      <c r="E46" s="16"/>
      <c r="F46" s="16"/>
      <c r="G46" s="16"/>
    </row>
    <row r="47" customFormat="false" ht="15" hidden="false" customHeight="true" outlineLevel="0" collapsed="false">
      <c r="A47" s="14" t="s">
        <v>214</v>
      </c>
      <c r="B47" s="16" t="s">
        <v>220</v>
      </c>
      <c r="C47" s="16"/>
      <c r="D47" s="16"/>
      <c r="E47" s="16"/>
      <c r="F47" s="16"/>
      <c r="G47" s="16"/>
    </row>
    <row r="48" customFormat="false" ht="15" hidden="false" customHeight="true" outlineLevel="0" collapsed="false">
      <c r="A48" s="14" t="s">
        <v>214</v>
      </c>
      <c r="B48" s="16" t="s">
        <v>221</v>
      </c>
      <c r="C48" s="16"/>
      <c r="D48" s="16"/>
      <c r="E48" s="16"/>
      <c r="F48" s="16"/>
      <c r="G48" s="16"/>
    </row>
  </sheetData>
  <mergeCells count="7">
    <mergeCell ref="B42:G42"/>
    <mergeCell ref="B43:G43"/>
    <mergeCell ref="B44:G44"/>
    <mergeCell ref="B45:G45"/>
    <mergeCell ref="B46:G46"/>
    <mergeCell ref="B47:G47"/>
    <mergeCell ref="B48: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40"/>
    <col collapsed="false" customWidth="true" hidden="false" outlineLevel="0" max="6" min="5" style="1" width="44"/>
    <col collapsed="false" customWidth="true" hidden="false" outlineLevel="0" max="8" min="7" style="1" width="16"/>
  </cols>
  <sheetData>
    <row r="1" customFormat="false" ht="17.25" hidden="false" customHeight="true" outlineLevel="0" collapsed="false">
      <c r="A1" s="2" t="s">
        <v>222</v>
      </c>
    </row>
    <row r="2" customFormat="false" ht="15" hidden="false" customHeight="true" outlineLevel="0" collapsed="false">
      <c r="A2" s="3" t="s">
        <v>223</v>
      </c>
    </row>
    <row r="4" customFormat="false" ht="15" hidden="false" customHeight="true" outlineLevel="0" collapsed="false">
      <c r="A4" s="11" t="s">
        <v>25</v>
      </c>
      <c r="B4" s="11" t="s">
        <v>27</v>
      </c>
      <c r="C4" s="11" t="s">
        <v>224</v>
      </c>
      <c r="D4" s="11" t="s">
        <v>225</v>
      </c>
      <c r="E4" s="11" t="s">
        <v>226</v>
      </c>
      <c r="F4" s="11" t="s">
        <v>227</v>
      </c>
      <c r="G4" s="11" t="s">
        <v>228</v>
      </c>
      <c r="H4" s="11" t="s">
        <v>229</v>
      </c>
    </row>
    <row r="5" customFormat="false" ht="120" hidden="false" customHeight="true" outlineLevel="0" collapsed="false">
      <c r="A5" s="12" t="s">
        <v>33</v>
      </c>
      <c r="B5" s="13" t="s">
        <v>230</v>
      </c>
      <c r="C5" s="12" t="s">
        <v>231</v>
      </c>
      <c r="D5" s="12" t="s">
        <v>232</v>
      </c>
      <c r="E5" s="12" t="s">
        <v>233</v>
      </c>
      <c r="F5" s="12" t="s">
        <v>234</v>
      </c>
      <c r="G5" s="12" t="s">
        <v>235</v>
      </c>
      <c r="H5" s="12" t="s">
        <v>236</v>
      </c>
    </row>
    <row r="6" customFormat="false" ht="120" hidden="false" customHeight="true" outlineLevel="0" collapsed="false">
      <c r="A6" s="12" t="s">
        <v>41</v>
      </c>
      <c r="B6" s="13" t="s">
        <v>237</v>
      </c>
      <c r="C6" s="12" t="s">
        <v>238</v>
      </c>
      <c r="D6" s="12" t="s">
        <v>239</v>
      </c>
      <c r="E6" s="12" t="s">
        <v>233</v>
      </c>
      <c r="F6" s="12" t="s">
        <v>240</v>
      </c>
      <c r="G6" s="12" t="s">
        <v>241</v>
      </c>
      <c r="H6" s="12" t="s">
        <v>242</v>
      </c>
    </row>
    <row r="7" customFormat="false" ht="120" hidden="false" customHeight="true" outlineLevel="0" collapsed="false">
      <c r="A7" s="12" t="s">
        <v>46</v>
      </c>
      <c r="B7" s="13" t="s">
        <v>243</v>
      </c>
      <c r="C7" s="12" t="s">
        <v>244</v>
      </c>
      <c r="D7" s="12" t="s">
        <v>245</v>
      </c>
      <c r="E7" s="12" t="s">
        <v>246</v>
      </c>
      <c r="F7" s="12" t="s">
        <v>247</v>
      </c>
      <c r="G7" s="12" t="s">
        <v>248</v>
      </c>
      <c r="H7" s="12" t="s">
        <v>249</v>
      </c>
    </row>
    <row r="8" customFormat="false" ht="120" hidden="false" customHeight="true" outlineLevel="0" collapsed="false">
      <c r="A8" s="12" t="s">
        <v>52</v>
      </c>
      <c r="B8" s="13" t="s">
        <v>250</v>
      </c>
      <c r="C8" s="12" t="s">
        <v>251</v>
      </c>
      <c r="D8" s="12" t="s">
        <v>252</v>
      </c>
      <c r="E8" s="12" t="s">
        <v>253</v>
      </c>
      <c r="F8" s="12" t="s">
        <v>254</v>
      </c>
      <c r="G8" s="12" t="s">
        <v>255</v>
      </c>
      <c r="H8" s="12" t="s">
        <v>256</v>
      </c>
    </row>
    <row r="9" customFormat="false" ht="120" hidden="false" customHeight="true" outlineLevel="0" collapsed="false">
      <c r="A9" s="12" t="s">
        <v>58</v>
      </c>
      <c r="B9" s="13" t="s">
        <v>257</v>
      </c>
      <c r="C9" s="12" t="s">
        <v>258</v>
      </c>
      <c r="D9" s="12" t="s">
        <v>259</v>
      </c>
      <c r="E9" s="12" t="s">
        <v>260</v>
      </c>
      <c r="F9" s="12" t="s">
        <v>261</v>
      </c>
      <c r="G9" s="12" t="s">
        <v>262</v>
      </c>
      <c r="H9" s="12" t="s">
        <v>63</v>
      </c>
    </row>
    <row r="10" customFormat="false" ht="120" hidden="false" customHeight="true" outlineLevel="0" collapsed="false">
      <c r="A10" s="12" t="s">
        <v>64</v>
      </c>
      <c r="B10" s="13" t="s">
        <v>263</v>
      </c>
      <c r="C10" s="12" t="s">
        <v>264</v>
      </c>
      <c r="D10" s="12" t="s">
        <v>265</v>
      </c>
      <c r="E10" s="12" t="s">
        <v>266</v>
      </c>
      <c r="F10" s="12" t="s">
        <v>267</v>
      </c>
      <c r="G10" s="12" t="s">
        <v>268</v>
      </c>
      <c r="H10" s="12" t="s">
        <v>69</v>
      </c>
    </row>
    <row r="11" customFormat="false" ht="120" hidden="false" customHeight="true" outlineLevel="0" collapsed="false">
      <c r="A11" s="12" t="s">
        <v>70</v>
      </c>
      <c r="B11" s="13" t="s">
        <v>269</v>
      </c>
      <c r="C11" s="12" t="s">
        <v>270</v>
      </c>
      <c r="D11" s="12" t="s">
        <v>271</v>
      </c>
      <c r="E11" s="12" t="s">
        <v>272</v>
      </c>
      <c r="F11" s="12" t="s">
        <v>273</v>
      </c>
      <c r="G11" s="12" t="s">
        <v>274</v>
      </c>
      <c r="H11" s="12" t="s">
        <v>175</v>
      </c>
    </row>
    <row r="12" customFormat="false" ht="120" hidden="false" customHeight="true" outlineLevel="0" collapsed="false">
      <c r="A12" s="12" t="s">
        <v>76</v>
      </c>
      <c r="B12" s="13" t="s">
        <v>275</v>
      </c>
      <c r="C12" s="12" t="s">
        <v>276</v>
      </c>
      <c r="D12" s="12" t="s">
        <v>277</v>
      </c>
      <c r="E12" s="12" t="s">
        <v>278</v>
      </c>
      <c r="F12" s="12" t="s">
        <v>279</v>
      </c>
      <c r="G12" s="12" t="s">
        <v>280</v>
      </c>
      <c r="H12" s="12" t="s">
        <v>81</v>
      </c>
    </row>
    <row r="13" customFormat="false" ht="120" hidden="false" customHeight="true" outlineLevel="0" collapsed="false">
      <c r="A13" s="12" t="s">
        <v>82</v>
      </c>
      <c r="B13" s="13" t="s">
        <v>281</v>
      </c>
      <c r="C13" s="12" t="s">
        <v>282</v>
      </c>
      <c r="D13" s="12" t="s">
        <v>283</v>
      </c>
      <c r="E13" s="12" t="s">
        <v>284</v>
      </c>
      <c r="F13" s="12" t="s">
        <v>285</v>
      </c>
      <c r="G13" s="12" t="s">
        <v>286</v>
      </c>
      <c r="H13" s="12" t="s">
        <v>69</v>
      </c>
    </row>
    <row r="14" customFormat="false" ht="120" hidden="false" customHeight="true" outlineLevel="0" collapsed="false">
      <c r="A14" s="12" t="s">
        <v>88</v>
      </c>
      <c r="B14" s="13" t="s">
        <v>287</v>
      </c>
      <c r="C14" s="12" t="s">
        <v>288</v>
      </c>
      <c r="D14" s="12" t="s">
        <v>289</v>
      </c>
      <c r="E14" s="12" t="s">
        <v>290</v>
      </c>
      <c r="F14" s="12" t="s">
        <v>291</v>
      </c>
      <c r="G14" s="12" t="s">
        <v>292</v>
      </c>
      <c r="H14" s="12" t="s">
        <v>293</v>
      </c>
    </row>
    <row r="15" customFormat="false" ht="120" hidden="false" customHeight="true" outlineLevel="0" collapsed="false">
      <c r="A15" s="12" t="s">
        <v>94</v>
      </c>
      <c r="B15" s="13" t="s">
        <v>294</v>
      </c>
      <c r="C15" s="12" t="s">
        <v>295</v>
      </c>
      <c r="D15" s="12" t="s">
        <v>296</v>
      </c>
      <c r="E15" s="12" t="s">
        <v>297</v>
      </c>
      <c r="F15" s="12" t="s">
        <v>298</v>
      </c>
      <c r="G15" s="12" t="s">
        <v>299</v>
      </c>
      <c r="H15" s="12" t="s">
        <v>300</v>
      </c>
    </row>
    <row r="16" customFormat="false" ht="120" hidden="false" customHeight="true" outlineLevel="0" collapsed="false">
      <c r="A16" s="12" t="s">
        <v>99</v>
      </c>
      <c r="B16" s="13" t="s">
        <v>301</v>
      </c>
      <c r="C16" s="12" t="s">
        <v>302</v>
      </c>
      <c r="D16" s="12" t="s">
        <v>303</v>
      </c>
      <c r="E16" s="12" t="s">
        <v>304</v>
      </c>
      <c r="F16" s="12" t="s">
        <v>305</v>
      </c>
      <c r="G16" s="12" t="s">
        <v>306</v>
      </c>
      <c r="H16" s="12" t="s">
        <v>307</v>
      </c>
    </row>
    <row r="17" customFormat="false" ht="120" hidden="false" customHeight="true" outlineLevel="0" collapsed="false">
      <c r="A17" s="12" t="s">
        <v>104</v>
      </c>
      <c r="B17" s="13" t="s">
        <v>308</v>
      </c>
      <c r="C17" s="12" t="s">
        <v>309</v>
      </c>
      <c r="D17" s="12" t="s">
        <v>233</v>
      </c>
      <c r="E17" s="12" t="s">
        <v>310</v>
      </c>
      <c r="F17" s="12" t="s">
        <v>311</v>
      </c>
      <c r="G17" s="12" t="s">
        <v>292</v>
      </c>
      <c r="H17" s="12" t="s">
        <v>312</v>
      </c>
    </row>
    <row r="18" customFormat="false" ht="120" hidden="false" customHeight="true" outlineLevel="0" collapsed="false">
      <c r="A18" s="12" t="s">
        <v>109</v>
      </c>
      <c r="B18" s="13" t="s">
        <v>313</v>
      </c>
      <c r="C18" s="12" t="s">
        <v>314</v>
      </c>
      <c r="D18" s="12" t="s">
        <v>315</v>
      </c>
      <c r="E18" s="12" t="s">
        <v>316</v>
      </c>
      <c r="F18" s="12" t="s">
        <v>317</v>
      </c>
      <c r="G18" s="12" t="s">
        <v>248</v>
      </c>
      <c r="H18" s="12" t="s">
        <v>318</v>
      </c>
    </row>
    <row r="19" customFormat="false" ht="120" hidden="false" customHeight="true" outlineLevel="0" collapsed="false">
      <c r="A19" s="12" t="s">
        <v>116</v>
      </c>
      <c r="B19" s="13" t="s">
        <v>319</v>
      </c>
      <c r="C19" s="12" t="s">
        <v>320</v>
      </c>
      <c r="D19" s="12" t="s">
        <v>233</v>
      </c>
      <c r="E19" s="12" t="s">
        <v>321</v>
      </c>
      <c r="F19" s="12" t="s">
        <v>322</v>
      </c>
      <c r="G19" s="12" t="s">
        <v>323</v>
      </c>
      <c r="H19" s="12" t="s">
        <v>122</v>
      </c>
    </row>
    <row r="20" customFormat="false" ht="120" hidden="false" customHeight="true" outlineLevel="0" collapsed="false">
      <c r="A20" s="12" t="s">
        <v>123</v>
      </c>
      <c r="B20" s="13" t="s">
        <v>324</v>
      </c>
      <c r="C20" s="12" t="s">
        <v>325</v>
      </c>
      <c r="D20" s="12" t="s">
        <v>326</v>
      </c>
      <c r="E20" s="12" t="s">
        <v>327</v>
      </c>
      <c r="F20" s="12" t="s">
        <v>328</v>
      </c>
      <c r="G20" s="12" t="s">
        <v>329</v>
      </c>
      <c r="H20" s="12" t="s">
        <v>330</v>
      </c>
    </row>
    <row r="21" customFormat="false" ht="120" hidden="false" customHeight="true" outlineLevel="0" collapsed="false">
      <c r="A21" s="12" t="s">
        <v>128</v>
      </c>
      <c r="B21" s="13" t="s">
        <v>331</v>
      </c>
      <c r="C21" s="12" t="s">
        <v>332</v>
      </c>
      <c r="D21" s="12" t="s">
        <v>233</v>
      </c>
      <c r="E21" s="12" t="s">
        <v>233</v>
      </c>
      <c r="F21" s="12" t="s">
        <v>333</v>
      </c>
      <c r="G21" s="12" t="s">
        <v>334</v>
      </c>
      <c r="H21" s="12" t="s">
        <v>307</v>
      </c>
    </row>
    <row r="22" customFormat="false" ht="120" hidden="false" customHeight="true" outlineLevel="0" collapsed="false">
      <c r="A22" s="12" t="s">
        <v>138</v>
      </c>
      <c r="B22" s="13" t="s">
        <v>335</v>
      </c>
      <c r="C22" s="12" t="s">
        <v>336</v>
      </c>
      <c r="D22" s="12" t="s">
        <v>233</v>
      </c>
      <c r="E22" s="12" t="s">
        <v>337</v>
      </c>
      <c r="F22" s="12" t="s">
        <v>338</v>
      </c>
      <c r="G22" s="12" t="s">
        <v>339</v>
      </c>
      <c r="H22" s="12" t="s">
        <v>122</v>
      </c>
    </row>
    <row r="23" customFormat="false" ht="120" hidden="false" customHeight="true" outlineLevel="0" collapsed="false">
      <c r="A23" s="12" t="s">
        <v>133</v>
      </c>
      <c r="B23" s="13" t="s">
        <v>340</v>
      </c>
      <c r="C23" s="12" t="s">
        <v>341</v>
      </c>
      <c r="D23" s="12" t="s">
        <v>342</v>
      </c>
      <c r="E23" s="12" t="s">
        <v>343</v>
      </c>
      <c r="F23" s="12" t="s">
        <v>344</v>
      </c>
      <c r="G23" s="12" t="s">
        <v>345</v>
      </c>
      <c r="H23" s="12"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20"/>
    <col collapsed="false" customWidth="true" hidden="false" outlineLevel="0" max="4" min="4" style="1" width="12"/>
    <col collapsed="false" customWidth="true" hidden="false" outlineLevel="0" max="7" min="5" style="1" width="9"/>
    <col collapsed="false" customWidth="true" hidden="false" outlineLevel="0" max="10" min="8" style="1" width="12"/>
    <col collapsed="false" customWidth="true" hidden="false" outlineLevel="0" max="11" min="11" style="1" width="13"/>
    <col collapsed="false" customWidth="true" hidden="false" outlineLevel="0" max="14" min="12" style="1" width="10"/>
    <col collapsed="false" customWidth="true" hidden="false" outlineLevel="0" max="15" min="15" style="1" width="16"/>
  </cols>
  <sheetData>
    <row r="1" customFormat="false" ht="17.25" hidden="false" customHeight="true" outlineLevel="0" collapsed="false">
      <c r="A1" s="2" t="s">
        <v>347</v>
      </c>
    </row>
    <row r="2" customFormat="false" ht="15" hidden="false" customHeight="true" outlineLevel="0" collapsed="false">
      <c r="A2" s="3" t="s">
        <v>348</v>
      </c>
    </row>
    <row r="4" customFormat="false" ht="15" hidden="false" customHeight="true" outlineLevel="0" collapsed="false">
      <c r="A4" s="17" t="s">
        <v>349</v>
      </c>
    </row>
    <row r="5" customFormat="false" ht="15" hidden="false" customHeight="true" outlineLevel="0" collapsed="false">
      <c r="A5" s="18" t="s">
        <v>350</v>
      </c>
      <c r="B5" s="19" t="n">
        <v>68.6</v>
      </c>
      <c r="C5" s="20" t="s">
        <v>351</v>
      </c>
    </row>
    <row r="6" customFormat="false" ht="15" hidden="false" customHeight="true" outlineLevel="0" collapsed="false">
      <c r="A6" s="18" t="s">
        <v>352</v>
      </c>
      <c r="B6" s="19" t="n">
        <v>-15.3</v>
      </c>
      <c r="C6" s="20" t="s">
        <v>353</v>
      </c>
    </row>
    <row r="7" customFormat="false" ht="15" hidden="false" customHeight="true" outlineLevel="0" collapsed="false">
      <c r="A7" s="18" t="s">
        <v>354</v>
      </c>
      <c r="B7" s="19" t="n">
        <v>-4.4</v>
      </c>
      <c r="C7" s="20" t="s">
        <v>355</v>
      </c>
    </row>
    <row r="8" customFormat="false" ht="15" hidden="false" customHeight="true" outlineLevel="0" collapsed="false">
      <c r="A8" s="18" t="s">
        <v>356</v>
      </c>
      <c r="B8" s="19" t="n">
        <v>102</v>
      </c>
      <c r="C8" s="20" t="s">
        <v>357</v>
      </c>
    </row>
    <row r="9" customFormat="false" ht="15" hidden="false" customHeight="true" outlineLevel="0" collapsed="false">
      <c r="A9" s="18" t="s">
        <v>358</v>
      </c>
      <c r="B9" s="19" t="n">
        <v>96.2</v>
      </c>
      <c r="C9" s="20" t="s">
        <v>359</v>
      </c>
    </row>
    <row r="10" customFormat="false" ht="15" hidden="false" customHeight="true" outlineLevel="0" collapsed="false">
      <c r="A10" s="18" t="s">
        <v>360</v>
      </c>
      <c r="B10" s="19" t="n">
        <v>16</v>
      </c>
      <c r="C10" s="20" t="s">
        <v>361</v>
      </c>
    </row>
    <row r="13" customFormat="false" ht="34.5" hidden="false" customHeight="true" outlineLevel="0" collapsed="false">
      <c r="A13" s="11" t="s">
        <v>362</v>
      </c>
      <c r="B13" s="11" t="s">
        <v>363</v>
      </c>
      <c r="C13" s="11" t="s">
        <v>364</v>
      </c>
      <c r="D13" s="11" t="s">
        <v>365</v>
      </c>
      <c r="E13" s="11" t="s">
        <v>366</v>
      </c>
      <c r="F13" s="11" t="s">
        <v>367</v>
      </c>
      <c r="G13" s="11" t="s">
        <v>368</v>
      </c>
      <c r="H13" s="11" t="s">
        <v>369</v>
      </c>
      <c r="I13" s="11" t="s">
        <v>370</v>
      </c>
      <c r="J13" s="11" t="s">
        <v>371</v>
      </c>
      <c r="K13" s="11" t="s">
        <v>372</v>
      </c>
      <c r="L13" s="11" t="s">
        <v>373</v>
      </c>
      <c r="M13" s="11" t="s">
        <v>374</v>
      </c>
      <c r="N13" s="11" t="s">
        <v>375</v>
      </c>
      <c r="O13" s="11" t="s">
        <v>376</v>
      </c>
    </row>
    <row r="14" customFormat="false" ht="15" hidden="false" customHeight="true" outlineLevel="0" collapsed="false">
      <c r="A14" s="21" t="s">
        <v>377</v>
      </c>
      <c r="B14" s="21" t="s">
        <v>378</v>
      </c>
      <c r="C14" s="21" t="s">
        <v>379</v>
      </c>
      <c r="D14" s="21" t="n">
        <v>28.07</v>
      </c>
      <c r="E14" s="21" t="n">
        <v>62</v>
      </c>
      <c r="F14" s="21" t="n">
        <v>-40.3</v>
      </c>
      <c r="G14" s="21" t="n">
        <v>37.5</v>
      </c>
      <c r="H14" s="21" t="n">
        <v>6.6</v>
      </c>
      <c r="I14" s="21" t="n">
        <v>25</v>
      </c>
      <c r="J14" s="21" t="n">
        <v>41.9</v>
      </c>
      <c r="K14" s="21" t="n">
        <v>58.3</v>
      </c>
    </row>
    <row r="15" customFormat="false" ht="15" hidden="false" customHeight="true" outlineLevel="0" collapsed="false">
      <c r="A15" s="18" t="s">
        <v>380</v>
      </c>
      <c r="B15" s="18" t="s">
        <v>381</v>
      </c>
      <c r="C15" s="18" t="s">
        <v>379</v>
      </c>
      <c r="D15" s="22" t="n">
        <v>25.52</v>
      </c>
      <c r="E15" s="23" t="n">
        <v>-42.34</v>
      </c>
      <c r="F15" s="23" t="n">
        <v>-15.3</v>
      </c>
      <c r="G15" s="23" t="n">
        <v>32.58</v>
      </c>
      <c r="H15" s="24" t="n">
        <f aca="false">$B$5-E15</f>
        <v>110.94</v>
      </c>
      <c r="I15" s="24" t="n">
        <f aca="false">-(F15-$B$6)</f>
        <v>-0</v>
      </c>
      <c r="J15" s="24" t="n">
        <f aca="false">G15-$B$7</f>
        <v>36.98</v>
      </c>
      <c r="K15" s="19"/>
      <c r="L15" s="25" t="n">
        <f aca="false">IF(K15="","",K15*H15)</f>
        <v>11648.7</v>
      </c>
      <c r="M15" s="25" t="n">
        <f aca="false">IF(K15="","",K15*I15)</f>
        <v>-0</v>
      </c>
      <c r="N15" s="25" t="n">
        <f aca="false">IF(K15="","",K15*J15)</f>
        <v>3882.9</v>
      </c>
      <c r="O15" s="26" t="n">
        <f aca="false">IF(K15="","",K15/D15)</f>
        <v>4.11442006269593</v>
      </c>
    </row>
    <row r="16" customFormat="false" ht="15" hidden="false" customHeight="true" outlineLevel="0" collapsed="false">
      <c r="A16" s="18" t="s">
        <v>382</v>
      </c>
      <c r="B16" s="18" t="s">
        <v>383</v>
      </c>
      <c r="C16" s="18" t="s">
        <v>379</v>
      </c>
      <c r="D16" s="22" t="n">
        <v>2.15</v>
      </c>
      <c r="E16" s="23" t="n">
        <v>-49.89</v>
      </c>
      <c r="F16" s="23" t="n">
        <v>-16.89</v>
      </c>
      <c r="G16" s="23" t="n">
        <v>11.05</v>
      </c>
      <c r="H16" s="24" t="n">
        <f aca="false">$B$5-E16</f>
        <v>118.49</v>
      </c>
      <c r="I16" s="24" t="n">
        <f aca="false">-(F16-$B$6)</f>
        <v>1.59</v>
      </c>
      <c r="J16" s="24" t="n">
        <f aca="false">G16-$B$7</f>
        <v>15.45</v>
      </c>
      <c r="K16" s="19"/>
      <c r="L16" s="25" t="n">
        <f aca="false">IF(K16="","",K16*H16)</f>
        <v>2488.29</v>
      </c>
      <c r="M16" s="25" t="n">
        <f aca="false">IF(K16="","",K16*I16)</f>
        <v>33.39</v>
      </c>
      <c r="N16" s="25" t="n">
        <f aca="false">IF(K16="","",K16*J16)</f>
        <v>324.45</v>
      </c>
      <c r="O16" s="26" t="n">
        <f aca="false">IF(K16="","",K16/D16)</f>
        <v>9.76744186046512</v>
      </c>
    </row>
    <row r="17" customFormat="false" ht="15" hidden="false" customHeight="true" outlineLevel="0" collapsed="false">
      <c r="A17" s="18" t="s">
        <v>384</v>
      </c>
      <c r="B17" s="18" t="s">
        <v>385</v>
      </c>
      <c r="C17" s="18" t="s">
        <v>386</v>
      </c>
      <c r="D17" s="22" t="n">
        <v>12.14</v>
      </c>
      <c r="E17" s="23" t="n">
        <v>-52.94</v>
      </c>
      <c r="F17" s="23" t="n">
        <v>-14.46</v>
      </c>
      <c r="G17" s="23" t="n">
        <v>10.69</v>
      </c>
      <c r="H17" s="24" t="n">
        <f aca="false">$B$5-E17</f>
        <v>121.54</v>
      </c>
      <c r="I17" s="24" t="n">
        <f aca="false">-(F17-$B$6)</f>
        <v>-0.84</v>
      </c>
      <c r="J17" s="24" t="n">
        <f aca="false">G17-$B$7</f>
        <v>15.09</v>
      </c>
      <c r="K17" s="19"/>
      <c r="L17" s="25" t="n">
        <f aca="false">IF(K17="","",K17*H17)</f>
        <v>1020.936</v>
      </c>
      <c r="M17" s="25" t="n">
        <f aca="false">IF(K17="","",K17*I17)</f>
        <v>-7.056</v>
      </c>
      <c r="N17" s="25" t="n">
        <f aca="false">IF(K17="","",K17*J17)</f>
        <v>126.756</v>
      </c>
      <c r="O17" s="26" t="n">
        <f aca="false">IF(K17="","",K17/D17)</f>
        <v>0.691927512355849</v>
      </c>
    </row>
    <row r="18" customFormat="false" ht="15" hidden="false" customHeight="true" outlineLevel="0" collapsed="false">
      <c r="A18" s="18" t="s">
        <v>387</v>
      </c>
      <c r="B18" s="18" t="s">
        <v>383</v>
      </c>
      <c r="C18" s="18" t="s">
        <v>388</v>
      </c>
      <c r="D18" s="22" t="n">
        <v>1.42</v>
      </c>
      <c r="E18" s="23" t="n">
        <v>-31.33</v>
      </c>
      <c r="F18" s="23" t="n">
        <v>-50.16</v>
      </c>
      <c r="G18" s="23" t="n">
        <v>10.95</v>
      </c>
      <c r="H18" s="24" t="n">
        <f aca="false">$B$5-E18</f>
        <v>99.93</v>
      </c>
      <c r="I18" s="24" t="n">
        <f aca="false">-(F18-$B$6)</f>
        <v>34.86</v>
      </c>
      <c r="J18" s="24" t="n">
        <f aca="false">G18-$B$7</f>
        <v>15.35</v>
      </c>
      <c r="K18" s="19"/>
      <c r="L18" s="25" t="n">
        <f aca="false">IF(K18="","",K18*H18)</f>
        <v>159.888</v>
      </c>
      <c r="M18" s="25" t="n">
        <f aca="false">IF(K18="","",K18*I18)</f>
        <v>55.776</v>
      </c>
      <c r="N18" s="25" t="n">
        <f aca="false">IF(K18="","",K18*J18)</f>
        <v>24.56</v>
      </c>
      <c r="O18" s="26" t="n">
        <f aca="false">IF(K18="","",K18/D18)</f>
        <v>1.12676056338028</v>
      </c>
    </row>
    <row r="19" customFormat="false" ht="15" hidden="false" customHeight="true" outlineLevel="0" collapsed="false">
      <c r="A19" s="18" t="s">
        <v>389</v>
      </c>
      <c r="B19" s="18" t="s">
        <v>383</v>
      </c>
      <c r="C19" s="18" t="s">
        <v>388</v>
      </c>
      <c r="D19" s="22" t="n">
        <v>1.42</v>
      </c>
      <c r="E19" s="23" t="n">
        <v>-31.32</v>
      </c>
      <c r="F19" s="23" t="n">
        <v>19.55</v>
      </c>
      <c r="G19" s="23" t="n">
        <v>10.95</v>
      </c>
      <c r="H19" s="24" t="n">
        <f aca="false">$B$5-E19</f>
        <v>99.92</v>
      </c>
      <c r="I19" s="24" t="n">
        <f aca="false">-(F19-$B$6)</f>
        <v>-34.85</v>
      </c>
      <c r="J19" s="24" t="n">
        <f aca="false">G19-$B$7</f>
        <v>15.35</v>
      </c>
      <c r="K19" s="19"/>
      <c r="L19" s="25" t="n">
        <f aca="false">IF(K19="","",K19*H19)</f>
        <v>159.872</v>
      </c>
      <c r="M19" s="25" t="n">
        <f aca="false">IF(K19="","",K19*I19)</f>
        <v>-55.76</v>
      </c>
      <c r="N19" s="25" t="n">
        <f aca="false">IF(K19="","",K19*J19)</f>
        <v>24.56</v>
      </c>
      <c r="O19" s="26" t="n">
        <f aca="false">IF(K19="","",K19/D19)</f>
        <v>1.12676056338028</v>
      </c>
    </row>
    <row r="20" customFormat="false" ht="15" hidden="false" customHeight="true" outlineLevel="0" collapsed="false">
      <c r="A20" s="18" t="s">
        <v>390</v>
      </c>
      <c r="B20" s="18" t="s">
        <v>383</v>
      </c>
      <c r="C20" s="18" t="s">
        <v>391</v>
      </c>
      <c r="D20" s="22" t="n">
        <v>0.52</v>
      </c>
      <c r="E20" s="23" t="n">
        <v>-15.7</v>
      </c>
      <c r="F20" s="23" t="n">
        <v>-15.3</v>
      </c>
      <c r="G20" s="23" t="n">
        <v>14.59</v>
      </c>
      <c r="H20" s="24" t="n">
        <f aca="false">$B$5-E20</f>
        <v>84.3</v>
      </c>
      <c r="I20" s="24" t="n">
        <f aca="false">-(F20-$B$6)</f>
        <v>-0</v>
      </c>
      <c r="J20" s="24" t="n">
        <f aca="false">G20-$B$7</f>
        <v>18.99</v>
      </c>
      <c r="K20" s="19"/>
      <c r="L20" s="25" t="n">
        <f aca="false">IF(K20="","",K20*H20)</f>
        <v>345.63</v>
      </c>
      <c r="M20" s="25" t="n">
        <f aca="false">IF(K20="","",K20*I20)</f>
        <v>-0</v>
      </c>
      <c r="N20" s="25" t="n">
        <f aca="false">IF(K20="","",K20*J20)</f>
        <v>77.859</v>
      </c>
      <c r="O20" s="26" t="n">
        <f aca="false">IF(K20="","",K20/D20)</f>
        <v>7.88461538461538</v>
      </c>
    </row>
    <row r="21" customFormat="false" ht="15" hidden="false" customHeight="true" outlineLevel="0" collapsed="false">
      <c r="A21" s="18" t="s">
        <v>392</v>
      </c>
      <c r="B21" s="18" t="s">
        <v>383</v>
      </c>
      <c r="C21" s="18" t="s">
        <v>388</v>
      </c>
      <c r="D21" s="22" t="n">
        <v>0.27</v>
      </c>
      <c r="E21" s="23" t="n">
        <v>-35.47</v>
      </c>
      <c r="F21" s="23" t="n">
        <v>-13.75</v>
      </c>
      <c r="G21" s="23" t="n">
        <v>5.54</v>
      </c>
      <c r="H21" s="24" t="n">
        <f aca="false">$B$5-E21</f>
        <v>104.07</v>
      </c>
      <c r="I21" s="24" t="n">
        <f aca="false">-(F21-$B$6)</f>
        <v>-1.55</v>
      </c>
      <c r="J21" s="24" t="n">
        <f aca="false">G21-$B$7</f>
        <v>9.94</v>
      </c>
      <c r="K21" s="19"/>
      <c r="L21" s="25" t="n">
        <f aca="false">IF(K21="","",K21*H21)</f>
        <v>31.221</v>
      </c>
      <c r="M21" s="25" t="n">
        <f aca="false">IF(K21="","",K21*I21)</f>
        <v>-0.465</v>
      </c>
      <c r="N21" s="25" t="n">
        <f aca="false">IF(K21="","",K21*J21)</f>
        <v>2.982</v>
      </c>
      <c r="O21" s="26" t="n">
        <f aca="false">IF(K21="","",K21/D21)</f>
        <v>1.11111111111111</v>
      </c>
    </row>
    <row r="22" customFormat="false" ht="15" hidden="false" customHeight="true" outlineLevel="0" collapsed="false">
      <c r="A22" s="18" t="s">
        <v>393</v>
      </c>
      <c r="B22" s="18" t="s">
        <v>383</v>
      </c>
      <c r="C22" s="18" t="s">
        <v>379</v>
      </c>
      <c r="D22" s="22" t="n">
        <v>0.24</v>
      </c>
      <c r="E22" s="23" t="n">
        <v>-28.02</v>
      </c>
      <c r="F22" s="23" t="n">
        <v>-9.06</v>
      </c>
      <c r="G22" s="23" t="n">
        <v>1.42</v>
      </c>
      <c r="H22" s="24" t="n">
        <f aca="false">$B$5-E22</f>
        <v>96.62</v>
      </c>
      <c r="I22" s="24" t="n">
        <f aca="false">-(F22-$B$6)</f>
        <v>-6.24</v>
      </c>
      <c r="J22" s="24" t="n">
        <f aca="false">G22-$B$7</f>
        <v>5.82</v>
      </c>
      <c r="K22" s="19"/>
      <c r="L22" s="25" t="n">
        <f aca="false">IF(K22="","",K22*H22)</f>
        <v>183.578</v>
      </c>
      <c r="M22" s="25" t="n">
        <f aca="false">IF(K22="","",K22*I22)</f>
        <v>-11.856</v>
      </c>
      <c r="N22" s="25" t="n">
        <f aca="false">IF(K22="","",K22*J22)</f>
        <v>11.058</v>
      </c>
      <c r="O22" s="26" t="n">
        <f aca="false">IF(K22="","",K22/D22)</f>
        <v>7.91666666666667</v>
      </c>
    </row>
    <row r="23" customFormat="false" ht="15" hidden="false" customHeight="true" outlineLevel="0" collapsed="false">
      <c r="A23" s="18" t="s">
        <v>394</v>
      </c>
      <c r="B23" s="18" t="s">
        <v>383</v>
      </c>
      <c r="C23" s="18" t="s">
        <v>379</v>
      </c>
      <c r="D23" s="22" t="n">
        <v>0.24</v>
      </c>
      <c r="E23" s="23" t="n">
        <v>-20.55</v>
      </c>
      <c r="F23" s="23" t="n">
        <v>5.84</v>
      </c>
      <c r="G23" s="23" t="n">
        <v>5.44</v>
      </c>
      <c r="H23" s="24" t="n">
        <f aca="false">$B$5-E23</f>
        <v>89.15</v>
      </c>
      <c r="I23" s="24" t="n">
        <f aca="false">-(F23-$B$6)</f>
        <v>-21.14</v>
      </c>
      <c r="J23" s="24" t="n">
        <f aca="false">G23-$B$7</f>
        <v>9.84</v>
      </c>
      <c r="K23" s="19"/>
      <c r="L23" s="25" t="n">
        <f aca="false">IF(K23="","",K23*H23)</f>
        <v>169.385</v>
      </c>
      <c r="M23" s="25" t="n">
        <f aca="false">IF(K23="","",K23*I23)</f>
        <v>-40.166</v>
      </c>
      <c r="N23" s="25" t="n">
        <f aca="false">IF(K23="","",K23*J23)</f>
        <v>18.696</v>
      </c>
      <c r="O23" s="26" t="n">
        <f aca="false">IF(K23="","",K23/D23)</f>
        <v>7.91666666666667</v>
      </c>
    </row>
    <row r="24" customFormat="false" ht="15" hidden="false" customHeight="true" outlineLevel="0" collapsed="false">
      <c r="A24" s="18" t="s">
        <v>395</v>
      </c>
      <c r="B24" s="18" t="s">
        <v>383</v>
      </c>
      <c r="C24" s="18" t="s">
        <v>396</v>
      </c>
      <c r="D24" s="22" t="n">
        <v>0.08</v>
      </c>
      <c r="E24" s="23" t="n">
        <v>-24.28</v>
      </c>
      <c r="F24" s="23" t="n">
        <v>-1.61</v>
      </c>
      <c r="G24" s="23" t="n">
        <v>3.43</v>
      </c>
      <c r="H24" s="24" t="n">
        <f aca="false">$B$5-E24</f>
        <v>92.88</v>
      </c>
      <c r="I24" s="24" t="n">
        <f aca="false">-(F24-$B$6)</f>
        <v>-13.69</v>
      </c>
      <c r="J24" s="24" t="n">
        <f aca="false">G24-$B$7</f>
        <v>7.83</v>
      </c>
      <c r="K24" s="19"/>
      <c r="L24" s="25" t="n">
        <f aca="false">IF(K24="","",K24*H24)</f>
        <v>9.288</v>
      </c>
      <c r="M24" s="25" t="n">
        <f aca="false">IF(K24="","",K24*I24)</f>
        <v>-1.369</v>
      </c>
      <c r="N24" s="25" t="n">
        <f aca="false">IF(K24="","",K24*J24)</f>
        <v>0.783</v>
      </c>
      <c r="O24" s="26" t="n">
        <f aca="false">IF(K24="","",K24/D24)</f>
        <v>1.25</v>
      </c>
    </row>
    <row r="25" customFormat="false" ht="15" hidden="false" customHeight="true" outlineLevel="0" collapsed="false">
      <c r="A25" s="18" t="s">
        <v>397</v>
      </c>
      <c r="B25" s="18" t="s">
        <v>385</v>
      </c>
      <c r="C25" s="18" t="s">
        <v>398</v>
      </c>
      <c r="D25" s="22" t="n">
        <v>0.49</v>
      </c>
      <c r="E25" s="23" t="n">
        <v>-74.25</v>
      </c>
      <c r="F25" s="23" t="n">
        <v>-15.3</v>
      </c>
      <c r="G25" s="23" t="n">
        <v>12.9</v>
      </c>
      <c r="H25" s="24" t="n">
        <f aca="false">$B$5-E25</f>
        <v>142.85</v>
      </c>
      <c r="I25" s="24" t="n">
        <f aca="false">-(F25-$B$6)</f>
        <v>-0</v>
      </c>
      <c r="J25" s="24" t="n">
        <f aca="false">G25-$B$7</f>
        <v>17.3</v>
      </c>
      <c r="K25" s="19"/>
      <c r="L25" s="25" t="n">
        <f aca="false">IF(K25="","",K25*H25)</f>
        <v>214.275</v>
      </c>
      <c r="M25" s="25" t="n">
        <f aca="false">IF(K25="","",K25*I25)</f>
        <v>-0</v>
      </c>
      <c r="N25" s="25" t="n">
        <f aca="false">IF(K25="","",K25*J25)</f>
        <v>25.95</v>
      </c>
      <c r="O25" s="26" t="n">
        <f aca="false">IF(K25="","",K25/D25)</f>
        <v>3.06122448979592</v>
      </c>
    </row>
    <row r="26" customFormat="false" ht="15" hidden="false" customHeight="true" outlineLevel="0" collapsed="false">
      <c r="A26" s="18" t="s">
        <v>399</v>
      </c>
      <c r="B26" s="18" t="s">
        <v>400</v>
      </c>
      <c r="C26" s="18" t="s">
        <v>401</v>
      </c>
      <c r="D26" s="22" t="n">
        <v>8.91</v>
      </c>
      <c r="E26" s="23" t="n">
        <v>-33.4</v>
      </c>
      <c r="F26" s="23" t="n">
        <v>-63.89</v>
      </c>
      <c r="G26" s="23" t="n">
        <v>10.78</v>
      </c>
      <c r="H26" s="24" t="n">
        <f aca="false">$B$5-E26</f>
        <v>102</v>
      </c>
      <c r="I26" s="24" t="n">
        <f aca="false">-(F26-$B$6)</f>
        <v>48.59</v>
      </c>
      <c r="J26" s="24" t="n">
        <f aca="false">G26-$B$7</f>
        <v>15.18</v>
      </c>
      <c r="K26" s="19"/>
      <c r="L26" s="25" t="n">
        <f aca="false">IF(K26="","",K26*H26)</f>
        <v>775.2</v>
      </c>
      <c r="M26" s="25" t="n">
        <f aca="false">IF(K26="","",K26*I26)</f>
        <v>369.284</v>
      </c>
      <c r="N26" s="25" t="n">
        <f aca="false">IF(K26="","",K26*J26)</f>
        <v>115.368</v>
      </c>
      <c r="O26" s="26" t="n">
        <f aca="false">IF(K26="","",K26/D26)</f>
        <v>0.85297418630752</v>
      </c>
    </row>
    <row r="27" customFormat="false" ht="15" hidden="false" customHeight="true" outlineLevel="0" collapsed="false">
      <c r="A27" s="18" t="s">
        <v>402</v>
      </c>
      <c r="B27" s="18" t="s">
        <v>400</v>
      </c>
      <c r="C27" s="18" t="s">
        <v>401</v>
      </c>
      <c r="D27" s="22" t="n">
        <v>8.91</v>
      </c>
      <c r="E27" s="23" t="n">
        <v>-33.37</v>
      </c>
      <c r="F27" s="23" t="n">
        <v>33.29</v>
      </c>
      <c r="G27" s="23" t="n">
        <v>10.78</v>
      </c>
      <c r="H27" s="24" t="n">
        <f aca="false">$B$5-E27</f>
        <v>101.97</v>
      </c>
      <c r="I27" s="24" t="n">
        <f aca="false">-(F27-$B$6)</f>
        <v>-48.59</v>
      </c>
      <c r="J27" s="24" t="n">
        <f aca="false">G27-$B$7</f>
        <v>15.18</v>
      </c>
      <c r="K27" s="19"/>
      <c r="L27" s="25" t="n">
        <f aca="false">IF(K27="","",K27*H27)</f>
        <v>764.775</v>
      </c>
      <c r="M27" s="25" t="n">
        <f aca="false">IF(K27="","",K27*I27)</f>
        <v>-364.425</v>
      </c>
      <c r="N27" s="25" t="n">
        <f aca="false">IF(K27="","",K27*J27)</f>
        <v>113.85</v>
      </c>
      <c r="O27" s="26" t="n">
        <f aca="false">IF(K27="","",K27/D27)</f>
        <v>0.841750841750842</v>
      </c>
    </row>
    <row r="28" customFormat="false" ht="15" hidden="false" customHeight="true" outlineLevel="0" collapsed="false">
      <c r="A28" s="18" t="s">
        <v>403</v>
      </c>
      <c r="B28" s="18" t="s">
        <v>404</v>
      </c>
      <c r="C28" s="18" t="s">
        <v>405</v>
      </c>
      <c r="D28" s="22" t="n">
        <v>0.44</v>
      </c>
      <c r="E28" s="23" t="n">
        <v>-30.29</v>
      </c>
      <c r="F28" s="23" t="n">
        <v>-11.9</v>
      </c>
      <c r="G28" s="23" t="n">
        <v>8.8</v>
      </c>
      <c r="H28" s="24" t="n">
        <f aca="false">$B$5-E28</f>
        <v>98.89</v>
      </c>
      <c r="I28" s="24" t="n">
        <f aca="false">-(F28-$B$6)</f>
        <v>-3.4</v>
      </c>
      <c r="J28" s="24" t="n">
        <f aca="false">G28-$B$7</f>
        <v>13.2</v>
      </c>
      <c r="K28" s="19"/>
      <c r="L28" s="25" t="n">
        <f aca="false">IF(K28="","",K28*H28)</f>
        <v>336.226</v>
      </c>
      <c r="M28" s="25" t="n">
        <f aca="false">IF(K28="","",K28*I28)</f>
        <v>-11.56</v>
      </c>
      <c r="N28" s="25" t="n">
        <f aca="false">IF(K28="","",K28*J28)</f>
        <v>44.88</v>
      </c>
      <c r="O28" s="26" t="n">
        <f aca="false">IF(K28="","",K28/D28)</f>
        <v>7.72727272727273</v>
      </c>
    </row>
    <row r="29" customFormat="false" ht="15" hidden="false" customHeight="true" outlineLevel="0" collapsed="false">
      <c r="A29" s="18" t="s">
        <v>406</v>
      </c>
      <c r="B29" s="18" t="s">
        <v>407</v>
      </c>
      <c r="C29" s="18" t="s">
        <v>379</v>
      </c>
      <c r="D29" s="22" t="n">
        <v>18.69</v>
      </c>
      <c r="E29" s="23" t="n">
        <v>31.93</v>
      </c>
      <c r="F29" s="23" t="n">
        <v>1.62</v>
      </c>
      <c r="G29" s="23" t="n">
        <v>29.66</v>
      </c>
      <c r="H29" s="24" t="n">
        <f aca="false">$B$5-E29</f>
        <v>36.67</v>
      </c>
      <c r="I29" s="24" t="n">
        <f aca="false">-(F29-$B$6)</f>
        <v>-16.92</v>
      </c>
      <c r="J29" s="24" t="n">
        <f aca="false">G29-$B$7</f>
        <v>34.06</v>
      </c>
      <c r="K29" s="19"/>
      <c r="L29" s="25" t="n">
        <f aca="false">IF(K29="","",K29*H29)</f>
        <v>1393.46</v>
      </c>
      <c r="M29" s="25" t="n">
        <f aca="false">IF(K29="","",K29*I29)</f>
        <v>-642.96</v>
      </c>
      <c r="N29" s="25" t="n">
        <f aca="false">IF(K29="","",K29*J29)</f>
        <v>1294.28</v>
      </c>
      <c r="O29" s="26" t="n">
        <f aca="false">IF(K29="","",K29/D29)</f>
        <v>2.03317281968967</v>
      </c>
    </row>
    <row r="30" customFormat="false" ht="15" hidden="false" customHeight="true" outlineLevel="0" collapsed="false">
      <c r="A30" s="18" t="s">
        <v>408</v>
      </c>
      <c r="B30" s="18" t="s">
        <v>407</v>
      </c>
      <c r="C30" s="18" t="s">
        <v>379</v>
      </c>
      <c r="D30" s="22" t="n">
        <v>31.07</v>
      </c>
      <c r="E30" s="23" t="n">
        <v>30.42</v>
      </c>
      <c r="F30" s="23" t="n">
        <v>-5.75</v>
      </c>
      <c r="G30" s="23" t="n">
        <v>14.16</v>
      </c>
      <c r="H30" s="24" t="n">
        <f aca="false">$B$5-E30</f>
        <v>38.18</v>
      </c>
      <c r="I30" s="24" t="n">
        <f aca="false">-(F30-$B$6)</f>
        <v>-9.55</v>
      </c>
      <c r="J30" s="24" t="n">
        <f aca="false">G30-$B$7</f>
        <v>18.56</v>
      </c>
      <c r="K30" s="19"/>
      <c r="L30" s="25" t="n">
        <f aca="false">IF(K30="","",K30*H30)</f>
        <v>2367.16</v>
      </c>
      <c r="M30" s="25" t="n">
        <f aca="false">IF(K30="","",K30*I30)</f>
        <v>-592.1</v>
      </c>
      <c r="N30" s="25" t="n">
        <f aca="false">IF(K30="","",K30*J30)</f>
        <v>1150.72</v>
      </c>
      <c r="O30" s="26" t="n">
        <f aca="false">IF(K30="","",K30/D30)</f>
        <v>1.99549404570325</v>
      </c>
    </row>
    <row r="31" customFormat="false" ht="15" hidden="false" customHeight="true" outlineLevel="0" collapsed="false">
      <c r="A31" s="18" t="s">
        <v>409</v>
      </c>
      <c r="B31" s="18" t="s">
        <v>407</v>
      </c>
      <c r="C31" s="18" t="s">
        <v>410</v>
      </c>
      <c r="D31" s="22" t="n">
        <v>14.56</v>
      </c>
      <c r="E31" s="23" t="n">
        <v>26.15</v>
      </c>
      <c r="F31" s="23" t="n">
        <v>3.36</v>
      </c>
      <c r="G31" s="23" t="n">
        <v>41.83</v>
      </c>
      <c r="H31" s="24" t="n">
        <f aca="false">$B$5-E31</f>
        <v>42.45</v>
      </c>
      <c r="I31" s="24" t="n">
        <f aca="false">-(F31-$B$6)</f>
        <v>-18.66</v>
      </c>
      <c r="J31" s="24" t="n">
        <f aca="false">G31-$B$7</f>
        <v>46.23</v>
      </c>
      <c r="K31" s="19"/>
      <c r="L31" s="25" t="n">
        <f aca="false">IF(K31="","",K31*H31)</f>
        <v>806.55</v>
      </c>
      <c r="M31" s="25" t="n">
        <f aca="false">IF(K31="","",K31*I31)</f>
        <v>-354.54</v>
      </c>
      <c r="N31" s="25" t="n">
        <f aca="false">IF(K31="","",K31*J31)</f>
        <v>878.37</v>
      </c>
      <c r="O31" s="26" t="n">
        <f aca="false">IF(K31="","",K31/D31)</f>
        <v>1.30494505494506</v>
      </c>
    </row>
    <row r="32" customFormat="false" ht="15" hidden="false" customHeight="true" outlineLevel="0" collapsed="false">
      <c r="A32" s="18" t="s">
        <v>411</v>
      </c>
      <c r="B32" s="18" t="s">
        <v>57</v>
      </c>
      <c r="C32" s="18" t="s">
        <v>379</v>
      </c>
      <c r="D32" s="22" t="n">
        <v>25.16</v>
      </c>
      <c r="E32" s="23" t="n">
        <v>25.35</v>
      </c>
      <c r="F32" s="23" t="n">
        <v>-38.55</v>
      </c>
      <c r="G32" s="23" t="n">
        <v>11.2</v>
      </c>
      <c r="H32" s="24" t="n">
        <f aca="false">$B$5-E32</f>
        <v>43.25</v>
      </c>
      <c r="I32" s="24" t="n">
        <f aca="false">-(F32-$B$6)</f>
        <v>23.25</v>
      </c>
      <c r="J32" s="24" t="n">
        <f aca="false">G32-$B$7</f>
        <v>15.6</v>
      </c>
      <c r="K32" s="19"/>
      <c r="L32" s="25" t="n">
        <f aca="false">IF(K32="","",K32*H32)</f>
        <v>4065.5</v>
      </c>
      <c r="M32" s="25" t="n">
        <f aca="false">IF(K32="","",K32*I32)</f>
        <v>2185.5</v>
      </c>
      <c r="N32" s="25" t="n">
        <f aca="false">IF(K32="","",K32*J32)</f>
        <v>1466.4</v>
      </c>
      <c r="O32" s="26" t="n">
        <f aca="false">IF(K32="","",K32/D32)</f>
        <v>3.73608903020668</v>
      </c>
    </row>
    <row r="33" customFormat="false" ht="15" hidden="false" customHeight="true" outlineLevel="0" collapsed="false">
      <c r="A33" s="18" t="s">
        <v>412</v>
      </c>
      <c r="B33" s="18" t="s">
        <v>57</v>
      </c>
      <c r="C33" s="18" t="s">
        <v>413</v>
      </c>
      <c r="D33" s="22" t="n">
        <v>0.31</v>
      </c>
      <c r="E33" s="23" t="n">
        <v>60.98</v>
      </c>
      <c r="F33" s="23" t="n">
        <v>-38.64</v>
      </c>
      <c r="G33" s="23" t="n">
        <v>11.2</v>
      </c>
      <c r="H33" s="24" t="n">
        <f aca="false">$B$5-E33</f>
        <v>7.62</v>
      </c>
      <c r="I33" s="24" t="n">
        <f aca="false">-(F33-$B$6)</f>
        <v>23.34</v>
      </c>
      <c r="J33" s="24" t="n">
        <f aca="false">G33-$B$7</f>
        <v>15.6</v>
      </c>
      <c r="K33" s="19"/>
      <c r="L33" s="25" t="n">
        <f aca="false">IF(K33="","",K33*H33)</f>
        <v>19.812</v>
      </c>
      <c r="M33" s="25" t="n">
        <f aca="false">IF(K33="","",K33*I33)</f>
        <v>60.684</v>
      </c>
      <c r="N33" s="25" t="n">
        <f aca="false">IF(K33="","",K33*J33)</f>
        <v>40.56</v>
      </c>
      <c r="O33" s="26" t="n">
        <f aca="false">IF(K33="","",K33/D33)</f>
        <v>8.38709677419355</v>
      </c>
    </row>
    <row r="34" customFormat="false" ht="15" hidden="false" customHeight="true" outlineLevel="0" collapsed="false">
      <c r="A34" s="18" t="s">
        <v>414</v>
      </c>
      <c r="B34" s="18" t="s">
        <v>57</v>
      </c>
      <c r="C34" s="18" t="s">
        <v>413</v>
      </c>
      <c r="D34" s="22" t="n">
        <v>0.36</v>
      </c>
      <c r="E34" s="23" t="n">
        <v>68.62</v>
      </c>
      <c r="F34" s="23" t="n">
        <v>-31.84</v>
      </c>
      <c r="G34" s="23" t="n">
        <v>11.66</v>
      </c>
      <c r="H34" s="24" t="n">
        <f aca="false">$B$5-E34</f>
        <v>-0.0200000000000102</v>
      </c>
      <c r="I34" s="24" t="n">
        <f aca="false">-(F34-$B$6)</f>
        <v>16.54</v>
      </c>
      <c r="J34" s="24" t="n">
        <f aca="false">G34-$B$7</f>
        <v>16.06</v>
      </c>
      <c r="K34" s="19"/>
      <c r="L34" s="25" t="n">
        <f aca="false">IF(K34="","",K34*H34)</f>
        <v>-0.0600000000000307</v>
      </c>
      <c r="M34" s="25" t="n">
        <f aca="false">IF(K34="","",K34*I34)</f>
        <v>49.62</v>
      </c>
      <c r="N34" s="25" t="n">
        <f aca="false">IF(K34="","",K34*J34)</f>
        <v>48.18</v>
      </c>
      <c r="O34" s="26" t="n">
        <f aca="false">IF(K34="","",K34/D34)</f>
        <v>8.33333333333333</v>
      </c>
    </row>
    <row r="35" customFormat="false" ht="15" hidden="false" customHeight="true" outlineLevel="0" collapsed="false">
      <c r="A35" s="18" t="s">
        <v>415</v>
      </c>
      <c r="B35" s="18" t="s">
        <v>57</v>
      </c>
      <c r="C35" s="18" t="s">
        <v>405</v>
      </c>
      <c r="D35" s="22" t="n">
        <v>0.59</v>
      </c>
      <c r="E35" s="23" t="n">
        <v>68.62</v>
      </c>
      <c r="F35" s="23" t="n">
        <v>-16.1</v>
      </c>
      <c r="G35" s="23" t="n">
        <v>11.47</v>
      </c>
      <c r="H35" s="24" t="n">
        <f aca="false">$B$5-E35</f>
        <v>-0.0200000000000102</v>
      </c>
      <c r="I35" s="24" t="n">
        <f aca="false">-(F35-$B$6)</f>
        <v>0.800000000000001</v>
      </c>
      <c r="J35" s="24" t="n">
        <f aca="false">G35-$B$7</f>
        <v>15.87</v>
      </c>
      <c r="K35" s="19"/>
      <c r="L35" s="25" t="n">
        <f aca="false">IF(K35="","",K35*H35)</f>
        <v>-0.0920000000000471</v>
      </c>
      <c r="M35" s="25" t="n">
        <f aca="false">IF(K35="","",K35*I35)</f>
        <v>3.68</v>
      </c>
      <c r="N35" s="25" t="n">
        <f aca="false">IF(K35="","",K35*J35)</f>
        <v>73.002</v>
      </c>
      <c r="O35" s="26" t="n">
        <f aca="false">IF(K35="","",K35/D35)</f>
        <v>7.79661016949153</v>
      </c>
    </row>
    <row r="36" customFormat="false" ht="15" hidden="false" customHeight="true" outlineLevel="0" collapsed="false">
      <c r="A36" s="18" t="s">
        <v>416</v>
      </c>
      <c r="B36" s="18" t="s">
        <v>378</v>
      </c>
      <c r="C36" s="18" t="s">
        <v>379</v>
      </c>
      <c r="D36" s="22" t="n">
        <v>28.07</v>
      </c>
      <c r="E36" s="23" t="n">
        <v>61.97</v>
      </c>
      <c r="F36" s="23" t="n">
        <v>-40.27</v>
      </c>
      <c r="G36" s="23" t="n">
        <v>37.53</v>
      </c>
      <c r="H36" s="24" t="n">
        <f aca="false">$B$5-E36</f>
        <v>6.63</v>
      </c>
      <c r="I36" s="24" t="n">
        <f aca="false">-(F36-$B$6)</f>
        <v>24.97</v>
      </c>
      <c r="J36" s="24" t="n">
        <f aca="false">G36-$B$7</f>
        <v>41.93</v>
      </c>
      <c r="K36" s="19"/>
      <c r="L36" s="25" t="n">
        <f aca="false">IF(K36="","",K36*H36)</f>
        <v>364.65</v>
      </c>
      <c r="M36" s="25" t="n">
        <f aca="false">IF(K36="","",K36*I36)</f>
        <v>1373.35</v>
      </c>
      <c r="N36" s="25" t="n">
        <f aca="false">IF(K36="","",K36*J36)</f>
        <v>2306.15</v>
      </c>
      <c r="O36" s="26" t="n">
        <f aca="false">IF(K36="","",K36/D36)</f>
        <v>1.95938724617029</v>
      </c>
    </row>
    <row r="37" customFormat="false" ht="15" hidden="false" customHeight="true" outlineLevel="0" collapsed="false">
      <c r="A37" s="18" t="s">
        <v>417</v>
      </c>
      <c r="B37" s="18" t="s">
        <v>381</v>
      </c>
      <c r="C37" s="18" t="s">
        <v>379</v>
      </c>
      <c r="D37" s="22" t="n">
        <v>1.31</v>
      </c>
      <c r="E37" s="23" t="n">
        <v>71.89</v>
      </c>
      <c r="F37" s="23" t="n">
        <v>-14.96</v>
      </c>
      <c r="G37" s="23" t="n">
        <v>2.09</v>
      </c>
      <c r="H37" s="24" t="n">
        <f aca="false">$B$5-E37</f>
        <v>-3.29000000000001</v>
      </c>
      <c r="I37" s="24" t="n">
        <f aca="false">-(F37-$B$6)</f>
        <v>-0.34</v>
      </c>
      <c r="J37" s="24" t="n">
        <f aca="false">G37-$B$7</f>
        <v>6.49</v>
      </c>
      <c r="K37" s="19"/>
      <c r="L37" s="25" t="n">
        <f aca="false">IF(K37="","",K37*H37)</f>
        <v>-9.87000000000002</v>
      </c>
      <c r="M37" s="25" t="n">
        <f aca="false">IF(K37="","",K37*I37)</f>
        <v>-1.02</v>
      </c>
      <c r="N37" s="25" t="n">
        <f aca="false">IF(K37="","",K37*J37)</f>
        <v>19.47</v>
      </c>
      <c r="O37" s="26" t="n">
        <f aca="false">IF(K37="","",K37/D37)</f>
        <v>2.29007633587786</v>
      </c>
    </row>
    <row r="38" customFormat="false" ht="15" hidden="false" customHeight="true" outlineLevel="0" collapsed="false">
      <c r="A38" s="18" t="s">
        <v>418</v>
      </c>
      <c r="B38" s="18" t="s">
        <v>385</v>
      </c>
      <c r="C38" s="18" t="s">
        <v>386</v>
      </c>
      <c r="D38" s="22" t="n">
        <v>28</v>
      </c>
      <c r="E38" s="23" t="n">
        <v>5.89</v>
      </c>
      <c r="F38" s="23" t="n">
        <v>-15.67</v>
      </c>
      <c r="G38" s="23" t="n">
        <v>4.91</v>
      </c>
      <c r="H38" s="24" t="n">
        <f aca="false">$B$5-E38</f>
        <v>62.71</v>
      </c>
      <c r="I38" s="24" t="n">
        <f aca="false">-(F38-$B$6)</f>
        <v>0.369999999999999</v>
      </c>
      <c r="J38" s="24" t="n">
        <f aca="false">G38-$B$7</f>
        <v>9.31</v>
      </c>
      <c r="K38" s="19"/>
      <c r="L38" s="25" t="n">
        <f aca="false">IF(K38="","",K38*H38)</f>
        <v>1335.723</v>
      </c>
      <c r="M38" s="25" t="n">
        <f aca="false">IF(K38="","",K38*I38)</f>
        <v>7.88099999999998</v>
      </c>
      <c r="N38" s="25" t="n">
        <f aca="false">IF(K38="","",K38*J38)</f>
        <v>198.303</v>
      </c>
      <c r="O38" s="26" t="n">
        <f aca="false">IF(K38="","",K38/D38)</f>
        <v>0.760714285714286</v>
      </c>
    </row>
    <row r="39" customFormat="false" ht="15" hidden="false" customHeight="true" outlineLevel="0" collapsed="false">
      <c r="A39" s="18" t="s">
        <v>419</v>
      </c>
      <c r="B39" s="18" t="s">
        <v>400</v>
      </c>
      <c r="C39" s="18" t="s">
        <v>401</v>
      </c>
      <c r="D39" s="22" t="n">
        <v>11.41</v>
      </c>
      <c r="E39" s="23" t="n">
        <v>68.62</v>
      </c>
      <c r="F39" s="23" t="n">
        <v>-63.44</v>
      </c>
      <c r="G39" s="23" t="n">
        <v>11.63</v>
      </c>
      <c r="H39" s="24" t="n">
        <f aca="false">$B$5-E39</f>
        <v>-0.0200000000000102</v>
      </c>
      <c r="I39" s="24" t="n">
        <f aca="false">-(F39-$B$6)</f>
        <v>48.14</v>
      </c>
      <c r="J39" s="24" t="n">
        <f aca="false">G39-$B$7</f>
        <v>16.03</v>
      </c>
      <c r="K39" s="19"/>
      <c r="L39" s="25" t="n">
        <f aca="false">IF(K39="","",K39*H39)</f>
        <v>-0.188000000000096</v>
      </c>
      <c r="M39" s="25" t="n">
        <f aca="false">IF(K39="","",K39*I39)</f>
        <v>452.516</v>
      </c>
      <c r="N39" s="25" t="n">
        <f aca="false">IF(K39="","",K39*J39)</f>
        <v>150.682</v>
      </c>
      <c r="O39" s="26" t="n">
        <f aca="false">IF(K39="","",K39/D39)</f>
        <v>0.823838737949167</v>
      </c>
    </row>
    <row r="40" customFormat="false" ht="15" hidden="false" customHeight="true" outlineLevel="0" collapsed="false">
      <c r="A40" s="18" t="s">
        <v>420</v>
      </c>
      <c r="B40" s="18" t="s">
        <v>400</v>
      </c>
      <c r="C40" s="18" t="s">
        <v>401</v>
      </c>
      <c r="D40" s="22" t="n">
        <v>11.41</v>
      </c>
      <c r="E40" s="23" t="n">
        <v>67.84</v>
      </c>
      <c r="F40" s="23" t="n">
        <v>32.84</v>
      </c>
      <c r="G40" s="23" t="n">
        <v>11.63</v>
      </c>
      <c r="H40" s="24" t="n">
        <f aca="false">$B$5-E40</f>
        <v>0.759999999999991</v>
      </c>
      <c r="I40" s="24" t="n">
        <f aca="false">-(F40-$B$6)</f>
        <v>-48.14</v>
      </c>
      <c r="J40" s="24" t="n">
        <f aca="false">G40-$B$7</f>
        <v>16.03</v>
      </c>
      <c r="K40" s="19"/>
      <c r="L40" s="25" t="n">
        <f aca="false">IF(K40="","",K40*H40)</f>
        <v>7.21999999999991</v>
      </c>
      <c r="M40" s="25" t="n">
        <f aca="false">IF(K40="","",K40*I40)</f>
        <v>-457.33</v>
      </c>
      <c r="N40" s="25" t="n">
        <f aca="false">IF(K40="","",K40*J40)</f>
        <v>152.285</v>
      </c>
      <c r="O40" s="26" t="n">
        <f aca="false">IF(K40="","",K40/D40)</f>
        <v>0.832602979842244</v>
      </c>
    </row>
    <row r="41" customFormat="false" ht="15" hidden="false" customHeight="true" outlineLevel="0" collapsed="false">
      <c r="A41" s="18" t="s">
        <v>421</v>
      </c>
      <c r="B41" s="18" t="s">
        <v>404</v>
      </c>
      <c r="C41" s="18" t="s">
        <v>405</v>
      </c>
      <c r="D41" s="22" t="n">
        <v>0.22</v>
      </c>
      <c r="E41" s="23" t="n">
        <v>52.6</v>
      </c>
      <c r="F41" s="23" t="n">
        <v>-38.11</v>
      </c>
      <c r="G41" s="23" t="n">
        <v>11.2</v>
      </c>
      <c r="H41" s="24" t="n">
        <f aca="false">$B$5-E41</f>
        <v>16</v>
      </c>
      <c r="I41" s="24" t="n">
        <f aca="false">-(F41-$B$6)</f>
        <v>22.81</v>
      </c>
      <c r="J41" s="24" t="n">
        <f aca="false">G41-$B$7</f>
        <v>15.6</v>
      </c>
      <c r="K41" s="19"/>
      <c r="L41" s="25" t="n">
        <f aca="false">IF(K41="","",K41*H41)</f>
        <v>27.2</v>
      </c>
      <c r="M41" s="25" t="n">
        <f aca="false">IF(K41="","",K41*I41)</f>
        <v>38.777</v>
      </c>
      <c r="N41" s="25" t="n">
        <f aca="false">IF(K41="","",K41*J41)</f>
        <v>26.52</v>
      </c>
      <c r="O41" s="26" t="n">
        <f aca="false">IF(K41="","",K41/D41)</f>
        <v>7.72727272727273</v>
      </c>
    </row>
    <row r="42" customFormat="false" ht="15" hidden="false" customHeight="true" outlineLevel="0" collapsed="false">
      <c r="A42" s="18" t="s">
        <v>422</v>
      </c>
      <c r="B42" s="18" t="s">
        <v>340</v>
      </c>
      <c r="C42" s="18" t="s">
        <v>379</v>
      </c>
      <c r="D42" s="22" t="n">
        <v>9.99</v>
      </c>
      <c r="E42" s="23" t="n">
        <v>-42.2</v>
      </c>
      <c r="F42" s="23" t="n">
        <v>-15.3</v>
      </c>
      <c r="G42" s="23" t="n">
        <v>68.2</v>
      </c>
      <c r="H42" s="24" t="n">
        <f aca="false">$B$5-E42</f>
        <v>110.8</v>
      </c>
      <c r="I42" s="24" t="n">
        <f aca="false">-(F42-$B$6)</f>
        <v>-0</v>
      </c>
      <c r="J42" s="24" t="n">
        <f aca="false">G42-$B$7</f>
        <v>72.6</v>
      </c>
      <c r="K42" s="19">
        <v>23.05</v>
      </c>
      <c r="L42" s="25" t="n">
        <f aca="false">IF(K42="","",K42*H42)</f>
        <v>3324</v>
      </c>
      <c r="M42" s="25" t="n">
        <f aca="false">IF(K42="","",K42*I42)</f>
        <v>-0</v>
      </c>
      <c r="N42" s="25" t="n">
        <f aca="false">IF(K42="","",K42*J42)</f>
        <v>2178</v>
      </c>
      <c r="O42" s="26" t="n">
        <f aca="false">IF(K42="","",K42/D42)</f>
        <v>3.003003003003</v>
      </c>
    </row>
    <row r="43" customFormat="false" ht="15" hidden="false" customHeight="true" outlineLevel="0" collapsed="false">
      <c r="A43" s="18" t="s">
        <v>423</v>
      </c>
      <c r="B43" s="18" t="s">
        <v>340</v>
      </c>
      <c r="C43" s="18" t="s">
        <v>424</v>
      </c>
      <c r="D43" s="22" t="n">
        <v>116.35</v>
      </c>
      <c r="E43" s="23" t="n">
        <v>8.5</v>
      </c>
      <c r="F43" s="23" t="n">
        <v>-15.3</v>
      </c>
      <c r="G43" s="23" t="n">
        <v>41.3</v>
      </c>
      <c r="H43" s="24" t="n">
        <f aca="false">$B$5-E43</f>
        <v>60.1</v>
      </c>
      <c r="I43" s="24" t="n">
        <f aca="false">-(F43-$B$6)</f>
        <v>-0</v>
      </c>
      <c r="J43" s="24" t="n">
        <f aca="false">G43-$B$7</f>
        <v>45.7</v>
      </c>
      <c r="K43" s="19"/>
      <c r="L43" s="25" t="n">
        <f aca="false">IF(K43="","",K43*H43)</f>
        <v>2283.8</v>
      </c>
      <c r="M43" s="25" t="n">
        <f aca="false">IF(K43="","",K43*I43)</f>
        <v>-0</v>
      </c>
      <c r="N43" s="25" t="n">
        <f aca="false">IF(K43="","",K43*J43)</f>
        <v>1736.6</v>
      </c>
      <c r="O43" s="26" t="n">
        <f aca="false">IF(K43="","",K43/D43)</f>
        <v>0.326600773528148</v>
      </c>
    </row>
    <row r="44" customFormat="false" ht="15" hidden="false" customHeight="true" outlineLevel="0" collapsed="false">
      <c r="A44" s="27" t="s">
        <v>425</v>
      </c>
      <c r="B44" s="18" t="s">
        <v>426</v>
      </c>
      <c r="E44" s="19" t="n">
        <v>30</v>
      </c>
      <c r="F44" s="19" t="n">
        <v>-2</v>
      </c>
      <c r="G44" s="19" t="n">
        <v>45</v>
      </c>
      <c r="H44" s="24" t="n">
        <f aca="false">IF(E44="","",$B$5-E44)</f>
        <v>38.6</v>
      </c>
      <c r="I44" s="24" t="n">
        <f aca="false">IF(F44="","",-(F44-$B$6))</f>
        <v>-13.3</v>
      </c>
      <c r="J44" s="24" t="n">
        <f aca="false">IF(G44="","",G44-$B$7)</f>
        <v>49.4</v>
      </c>
      <c r="K44" s="19"/>
      <c r="L44" s="25" t="n">
        <f aca="false">IF(OR(K44="",H44=""),"",K44*H44)</f>
        <v>617.6</v>
      </c>
      <c r="M44" s="25" t="n">
        <f aca="false">IF(OR(K44="",I44=""),"",K44*I44)</f>
        <v>-212.8</v>
      </c>
      <c r="N44" s="25" t="n">
        <f aca="false">IF(OR(K44="",J44=""),"",K44*J44)</f>
        <v>790.4</v>
      </c>
    </row>
    <row r="46" customFormat="false" ht="15" hidden="false" customHeight="true" outlineLevel="0" collapsed="false">
      <c r="A46" s="17" t="s">
        <v>427</v>
      </c>
      <c r="B46" s="17" t="s">
        <v>428</v>
      </c>
      <c r="C46" s="17" t="s">
        <v>429</v>
      </c>
    </row>
    <row r="47" customFormat="false" ht="15" hidden="false" customHeight="true" outlineLevel="0" collapsed="false">
      <c r="A47" s="18" t="s">
        <v>430</v>
      </c>
      <c r="B47" s="24" t="n">
        <f aca="false">SUMIF(B15:B44,"&lt;&gt;Body",K15:K44)</f>
        <v>505</v>
      </c>
      <c r="C47" s="24" t="n">
        <f aca="false">SUM(K15:K44)</f>
        <v>573</v>
      </c>
    </row>
    <row r="48" customFormat="false" ht="15" hidden="false" customHeight="true" outlineLevel="0" collapsed="false">
      <c r="A48" s="18" t="s">
        <v>431</v>
      </c>
      <c r="B48" s="24" t="n">
        <f aca="false">IF(B47=0,"",SUMIF(B15:B44,"&lt;&gt;Body",L15:L44)/B47)</f>
        <v>58.0236217821782</v>
      </c>
      <c r="C48" s="24" t="n">
        <f aca="false">IF(C47=0,"",SUM(L15:L44)/C47)</f>
        <v>60.9244834205934</v>
      </c>
    </row>
    <row r="49" customFormat="false" ht="15" hidden="false" customHeight="true" outlineLevel="0" collapsed="false">
      <c r="A49" s="18" t="s">
        <v>432</v>
      </c>
      <c r="B49" s="24" t="n">
        <f aca="false">IF(B47=0,"",SUMIF(B15:B44,"&lt;&gt;Body",M15:M44)/B47)</f>
        <v>3.71693267326733</v>
      </c>
      <c r="C49" s="24" t="n">
        <f aca="false">IF(C47=0,"",SUM(M15:M44)/C47)</f>
        <v>3.27583071553229</v>
      </c>
    </row>
    <row r="50" customFormat="false" ht="15" hidden="false" customHeight="true" outlineLevel="0" collapsed="false">
      <c r="A50" s="18" t="s">
        <v>433</v>
      </c>
      <c r="B50" s="24" t="n">
        <f aca="false">IF(B47=0,"",SUMIF(B15:B44,"&lt;&gt;Body",N15:N44)/B47)</f>
        <v>26.5148</v>
      </c>
      <c r="C50" s="24" t="n">
        <f aca="false">IF(C47=0,"",SUM(N15:N44)/C47)</f>
        <v>30.1999546247819</v>
      </c>
    </row>
    <row r="51" customFormat="false" ht="15" hidden="false" customHeight="true" outlineLevel="0" collapsed="false">
      <c r="A51" s="18" t="s">
        <v>434</v>
      </c>
      <c r="B51" s="28" t="n">
        <f aca="false">IF(B48="","",B48/$B$8)</f>
        <v>0.568859037080179</v>
      </c>
      <c r="C51" s="28" t="n">
        <f aca="false">IF(C48="","",C48/$B$8)</f>
        <v>0.597298857064641</v>
      </c>
    </row>
    <row r="52" customFormat="false" ht="15" hidden="false" customHeight="true" outlineLevel="0" collapsed="false">
      <c r="A52" s="18" t="s">
        <v>435</v>
      </c>
      <c r="C52" s="29" t="n">
        <f aca="false">COUNT(K15:K43)/29</f>
        <v>1</v>
      </c>
    </row>
    <row r="54" customFormat="false" ht="15" hidden="false" customHeight="true" outlineLevel="0" collapsed="false">
      <c r="A54" s="17" t="s">
        <v>436</v>
      </c>
    </row>
    <row r="55" customFormat="false" ht="15" hidden="false" customHeight="true" outlineLevel="0" collapsed="false">
      <c r="A55" s="18" t="s">
        <v>437</v>
      </c>
      <c r="B55" s="19">
        <v>586</v>
      </c>
    </row>
    <row r="56" customFormat="false" ht="15" hidden="false" customHeight="true" outlineLevel="0" collapsed="false">
      <c r="A56" s="18" t="s">
        <v>438</v>
      </c>
      <c r="B56" s="19">
        <v>322</v>
      </c>
    </row>
    <row r="57" customFormat="false" ht="15" hidden="false" customHeight="true" outlineLevel="0" collapsed="false">
      <c r="A57" s="18" t="s">
        <v>439</v>
      </c>
      <c r="B57" s="19">
        <v>257</v>
      </c>
    </row>
    <row r="58" customFormat="false" ht="15" hidden="false" customHeight="true" outlineLevel="0" collapsed="false">
      <c r="A58" s="18" t="s">
        <v>440</v>
      </c>
      <c r="B58" s="19">
        <v>284</v>
      </c>
    </row>
    <row r="59" customFormat="false" ht="15" hidden="false" customHeight="true" outlineLevel="0" collapsed="false">
      <c r="A59" s="18" t="s">
        <v>441</v>
      </c>
      <c r="B59" s="19">
        <v>295</v>
      </c>
    </row>
    <row r="60" customFormat="false" ht="15" hidden="false" customHeight="true" outlineLevel="0" collapsed="false">
      <c r="A60" s="18" t="s">
        <v>442</v>
      </c>
      <c r="B60" s="19">
        <v>40</v>
      </c>
    </row>
    <row r="61" customFormat="false" ht="15" hidden="false" customHeight="true" outlineLevel="0" collapsed="false">
      <c r="A61" s="18" t="s">
        <v>443</v>
      </c>
      <c r="B61" s="19">
        <v>377</v>
      </c>
    </row>
    <row r="62" customFormat="false" ht="15" hidden="false" customHeight="true" outlineLevel="0" collapsed="false">
      <c r="A62" s="18" t="s">
        <v>444</v>
      </c>
      <c r="B62" s="24" t="n">
        <f aca="false">IF(OR(B56="",B57="",B55=""),"",B56+B57-B55)</f>
        <v>0.400000000000091</v>
      </c>
    </row>
    <row r="63" customFormat="false" ht="15" hidden="false" customHeight="true" outlineLevel="0" collapsed="false">
      <c r="A63" s="18" t="s">
        <v>431</v>
      </c>
      <c r="B63" s="24" t="n">
        <f aca="false">IF(OR(B56="",B55=""),"",$B$8*B56/B55)</f>
        <v>59.5192073700678</v>
      </c>
    </row>
    <row r="64" customFormat="false" ht="15" hidden="false" customHeight="true" outlineLevel="0" collapsed="false">
      <c r="A64" s="18" t="s">
        <v>432</v>
      </c>
      <c r="B64" s="24" t="n">
        <f aca="false">IF(OR(B58="",B59=""),"",$B$9*(B58/(B58+B59)-0.5))</f>
        <v>2.71033043478261</v>
      </c>
    </row>
    <row r="65" customFormat="false" ht="15" hidden="false" customHeight="true" outlineLevel="0" collapsed="false">
      <c r="A65" s="18" t="s">
        <v>445</v>
      </c>
      <c r="B65" s="30" t="n">
        <f aca="false">IF(B60="","",DEGREES(ASIN(B60/$B$8)))</f>
        <v>14.187627613403</v>
      </c>
    </row>
    <row r="66" customFormat="false" ht="15" hidden="false" customHeight="true" outlineLevel="0" collapsed="false">
      <c r="A66" s="18" t="s">
        <v>433</v>
      </c>
      <c r="B66" s="24" t="n">
        <f aca="false">IF(OR(B61="",B56="",B60="",B55=""),"",$B$10+$B$8*(B61-B56)/(B55*TAN(RADIANS(B65))))</f>
        <v>31.2886629259024</v>
      </c>
    </row>
    <row r="68" customFormat="false" ht="15" hidden="false" customHeight="true" outlineLevel="0" collapsed="false">
      <c r="A68" s="17" t="s">
        <v>446</v>
      </c>
    </row>
    <row r="69" customFormat="false" ht="34.5" hidden="false" customHeight="true" outlineLevel="0" collapsed="false">
      <c r="A69" s="11" t="s">
        <v>447</v>
      </c>
      <c r="B69" s="11" t="s">
        <v>448</v>
      </c>
      <c r="C69" s="11" t="s">
        <v>449</v>
      </c>
      <c r="D69" s="11" t="s">
        <v>450</v>
      </c>
    </row>
    <row r="70" customFormat="false" ht="15" hidden="false" customHeight="true" outlineLevel="0" collapsed="false">
      <c r="A70" s="18" t="s">
        <v>451</v>
      </c>
      <c r="B70" s="24" t="n">
        <f aca="false">C47</f>
        <v>573</v>
      </c>
      <c r="C70" s="24" t="n">
        <f aca="false">B55</f>
        <v>575.3</v>
      </c>
      <c r="D70" s="24" t="n">
        <f aca="false">IF(OR(B70="",C70="",B70=0),"",C70-B70)</f>
        <v>2.29999999999995</v>
      </c>
    </row>
    <row r="71" customFormat="false" ht="15" hidden="false" customHeight="true" outlineLevel="0" collapsed="false">
      <c r="A71" s="18" t="s">
        <v>452</v>
      </c>
      <c r="B71" s="24" t="n">
        <f aca="false">C48</f>
        <v>60.9244834205934</v>
      </c>
      <c r="C71" s="24" t="n">
        <f aca="false">B63</f>
        <v>59.5192073700678</v>
      </c>
      <c r="D71" s="24" t="n">
        <f aca="false">IF(OR(B71="",C71="",B71=0),"",C71-B71)</f>
        <v>-1.40527605052556</v>
      </c>
    </row>
    <row r="72" customFormat="false" ht="15" hidden="false" customHeight="true" outlineLevel="0" collapsed="false">
      <c r="A72" s="18" t="s">
        <v>453</v>
      </c>
      <c r="B72" s="24" t="n">
        <f aca="false">C49</f>
        <v>3.27583071553229</v>
      </c>
      <c r="C72" s="24" t="n">
        <f aca="false">B64</f>
        <v>2.71033043478261</v>
      </c>
      <c r="D72" s="24" t="n">
        <f aca="false">IF(OR(B72="",C72="",B72=0),"",C72-B72)</f>
        <v>-0.565500280749676</v>
      </c>
    </row>
    <row r="73" customFormat="false" ht="15" hidden="false" customHeight="true" outlineLevel="0" collapsed="false">
      <c r="A73" s="18" t="s">
        <v>454</v>
      </c>
      <c r="B73" s="24" t="n">
        <f aca="false">C50</f>
        <v>30.1999546247819</v>
      </c>
      <c r="C73" s="24" t="n">
        <f aca="false">B66</f>
        <v>31.2886629259024</v>
      </c>
      <c r="D73" s="24" t="n">
        <f aca="false">IF(OR(B73="",C73="",B73=0),"",C73-B73)</f>
        <v>1.08870830112057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14"/>
    <col collapsed="false" customWidth="true" hidden="false" outlineLevel="0" max="9" min="4" style="1" width="11"/>
    <col collapsed="false" customWidth="true" hidden="false" outlineLevel="0" max="10" min="10" style="1" width="12"/>
    <col collapsed="false" customWidth="true" hidden="false" outlineLevel="0" max="11" min="11" style="1" width="14"/>
    <col collapsed="false" customWidth="true" hidden="false" outlineLevel="0" max="13" min="12" style="1" width="11"/>
    <col collapsed="false" customWidth="true" hidden="false" outlineLevel="0" max="15" min="14" style="1" width="12"/>
  </cols>
  <sheetData>
    <row r="1" customFormat="false" ht="17.25" hidden="false" customHeight="true" outlineLevel="0" collapsed="false">
      <c r="A1" s="2" t="s">
        <v>455</v>
      </c>
    </row>
    <row r="2" customFormat="false" ht="15" hidden="false" customHeight="true" outlineLevel="0" collapsed="false">
      <c r="A2" s="3" t="s">
        <v>456</v>
      </c>
    </row>
    <row r="4" customFormat="false" ht="15" hidden="false" customHeight="true" outlineLevel="0" collapsed="false">
      <c r="A4" s="17" t="s">
        <v>457</v>
      </c>
    </row>
    <row r="5" customFormat="false" ht="15" hidden="false" customHeight="true" outlineLevel="0" collapsed="false">
      <c r="A5" s="18" t="s">
        <v>458</v>
      </c>
      <c r="B5" s="24" t="n">
        <f aca="false">Mass_CoG!B8</f>
        <v>102</v>
      </c>
    </row>
    <row r="6" customFormat="false" ht="15" hidden="false" customHeight="true" outlineLevel="0" collapsed="false">
      <c r="A6" s="18" t="s">
        <v>459</v>
      </c>
      <c r="B6" s="19" t="n">
        <v>59.3</v>
      </c>
      <c r="C6" s="20" t="s">
        <v>460</v>
      </c>
    </row>
    <row r="7" customFormat="false" ht="15" hidden="false" customHeight="true" outlineLevel="0" collapsed="false">
      <c r="A7" s="18" t="s">
        <v>461</v>
      </c>
      <c r="B7" s="31" t="s">
        <v>462</v>
      </c>
    </row>
    <row r="9" customFormat="false" ht="45.75" hidden="false" customHeight="true" outlineLevel="0" collapsed="false">
      <c r="A9" s="11" t="s">
        <v>463</v>
      </c>
      <c r="B9" s="11" t="s">
        <v>464</v>
      </c>
      <c r="C9" s="11" t="s">
        <v>465</v>
      </c>
      <c r="D9" s="11" t="s">
        <v>466</v>
      </c>
      <c r="E9" s="11" t="s">
        <v>467</v>
      </c>
      <c r="F9" s="11" t="s">
        <v>468</v>
      </c>
      <c r="G9" s="11" t="s">
        <v>469</v>
      </c>
      <c r="H9" s="11" t="s">
        <v>470</v>
      </c>
      <c r="I9" s="11" t="s">
        <v>471</v>
      </c>
      <c r="J9" s="11" t="s">
        <v>472</v>
      </c>
      <c r="K9" s="11" t="s">
        <v>473</v>
      </c>
      <c r="L9" s="11" t="s">
        <v>474</v>
      </c>
      <c r="M9" s="11" t="s">
        <v>475</v>
      </c>
      <c r="N9" s="11" t="s">
        <v>476</v>
      </c>
      <c r="O9" s="11" t="s">
        <v>477</v>
      </c>
    </row>
    <row r="10" customFormat="false" ht="15" hidden="false" customHeight="true" outlineLevel="0" collapsed="false">
      <c r="A10" s="21" t="s">
        <v>478</v>
      </c>
      <c r="B10" s="21" t="n">
        <v>50</v>
      </c>
      <c r="C10" s="21" t="n">
        <v>20</v>
      </c>
      <c r="D10" s="21" t="n">
        <v>20.4</v>
      </c>
      <c r="E10" s="21" t="n">
        <v>19.8</v>
      </c>
      <c r="F10" s="21" t="n">
        <v>18.1</v>
      </c>
      <c r="G10" s="21" t="n">
        <v>17.6</v>
      </c>
    </row>
    <row r="11" customFormat="false" ht="15" hidden="false" customHeight="true" outlineLevel="0" collapsed="false">
      <c r="A11" s="18" t="s">
        <v>479</v>
      </c>
      <c r="B11" s="14" t="n">
        <v>-100</v>
      </c>
      <c r="C11" s="19" t="n">
        <v>-45</v>
      </c>
      <c r="D11" s="19" t="n">
        <v>-30</v>
      </c>
      <c r="E11" s="19"/>
      <c r="F11" s="19" t="n">
        <v>-47</v>
      </c>
      <c r="G11" s="19"/>
      <c r="H11" s="24" t="n">
        <f aca="false">IF(COUNT(D11:E11)=0,"",AVERAGE(D11:E11))</f>
        <v>-30</v>
      </c>
      <c r="I11" s="24" t="n">
        <f aca="false">IF(COUNT(F11:G11)=0,"",AVERAGE(F11:G11))</f>
        <v>-47</v>
      </c>
      <c r="J11" s="24" t="n">
        <f aca="false">IF(OR(H11="",I11=""),"",IF(ABS(H11+I11)&lt;0.05,0,DEGREES(ATAN(2/(1/TAN(RADIANS(H11))+1/TAN(RADIANS(I11)))))))</f>
        <v>-36.891574350270105</v>
      </c>
      <c r="K11" s="24" t="n">
        <f aca="false">IF(OR(J11="",C11=""),"",J11-C11)</f>
        <v>8.108425649729895</v>
      </c>
      <c r="L11" s="24" t="str">
        <f aca="false">IF(COUNT(D11:E11)&lt;2,"",D11-E11)</f>
        <v/>
      </c>
      <c r="M11" s="24" t="str">
        <f aca="false">IF(COUNT(F11:G11)&lt;2,"",F11-G11)</f>
        <v/>
      </c>
      <c r="N11" s="24" t="n">
        <f aca="false">IF(OR(H11="",I11=""),"",IF(ABS(H11)&lt;0.05,0,SIGN(H11)*DEGREES(ATAN(1/(1/TAN(RADIANS(MAX(ABS(H11),ABS(I11))))+$B$6/$B$5)))))</f>
        <v>-33.4467966292934</v>
      </c>
      <c r="O11" s="24" t="n">
        <f aca="false">IF(N11="","",SIGN(H11)*MIN(ABS(H11),ABS(I11))-N11)</f>
        <v>3.4467966292934022</v>
      </c>
    </row>
    <row r="12" customFormat="false" ht="15" hidden="false" customHeight="true" outlineLevel="0" collapsed="false">
      <c r="A12" s="18" t="s">
        <v>480</v>
      </c>
      <c r="B12" s="14" t="n">
        <v>-30</v>
      </c>
      <c r="C12" s="19" t="n">
        <v>-13.5</v>
      </c>
      <c r="D12" s="19" t="n">
        <v>-12.5</v>
      </c>
      <c r="E12" s="19"/>
      <c r="F12" s="19" t="n">
        <v>-12.5</v>
      </c>
      <c r="G12" s="19"/>
      <c r="H12" s="24" t="n">
        <f aca="false">IF(COUNT(D12:E12)=0,"",AVERAGE(D12:E12))</f>
        <v>-12.5</v>
      </c>
      <c r="I12" s="24" t="n">
        <f aca="false">IF(COUNT(F12:G12)=0,"",AVERAGE(F12:G12))</f>
        <v>-12.5</v>
      </c>
      <c r="J12" s="24" t="n">
        <f aca="false">IF(OR(H12="",I12=""),"",IF(ABS(H12+I12)&lt;0.05,0,DEGREES(ATAN(2/(1/TAN(RADIANS(H12))+1/TAN(RADIANS(I12)))))))</f>
        <v>-12.500000000000002</v>
      </c>
      <c r="K12" s="24" t="n">
        <f aca="false">IF(OR(J12="",C12=""),"",J12-C12)</f>
        <v>0.9999999999999982</v>
      </c>
      <c r="L12" s="24" t="str">
        <f aca="false">IF(COUNT(D12:E12)&lt;2,"",D12-E12)</f>
        <v/>
      </c>
      <c r="M12" s="24" t="str">
        <f aca="false">IF(COUNT(F12:G12)&lt;2,"",F12-G12)</f>
        <v/>
      </c>
      <c r="N12" s="24" t="n">
        <f aca="false">IF(OR(H12="",I12=""),"",IF(ABS(H12)&lt;0.05,0,SIGN(H12)*DEGREES(ATAN(1/(1/TAN(RADIANS(MAX(ABS(H12),ABS(I12))))+$B$6/$B$5)))))</f>
        <v>-11.110546472846867</v>
      </c>
      <c r="O12" s="24" t="n">
        <f aca="false">IF(N12="","",SIGN(H12)*MIN(ABS(H12),ABS(I12))-N12)</f>
        <v>-1.3894535271531332</v>
      </c>
    </row>
    <row r="13" customFormat="false" ht="15" hidden="false" customHeight="true" outlineLevel="0" collapsed="false">
      <c r="A13" s="18" t="s">
        <v>481</v>
      </c>
      <c r="B13" s="14" t="n">
        <v>30</v>
      </c>
      <c r="C13" s="19" t="n">
        <v>13.5</v>
      </c>
      <c r="D13" s="19" t="n">
        <v>13.5</v>
      </c>
      <c r="E13" s="19"/>
      <c r="F13" s="19" t="n">
        <v>13.5</v>
      </c>
      <c r="G13" s="19"/>
      <c r="H13" s="24" t="n">
        <f aca="false">IF(COUNT(D13:E13)=0,"",AVERAGE(D13:E13))</f>
        <v>13.5</v>
      </c>
      <c r="I13" s="24" t="n">
        <f aca="false">IF(COUNT(F13:G13)=0,"",AVERAGE(F13:G13))</f>
        <v>13.5</v>
      </c>
      <c r="J13" s="24" t="n">
        <f aca="false">IF(OR(H13="",I13=""),"",IF(ABS(H13+I13)&lt;0.05,0,DEGREES(ATAN(2/(1/TAN(RADIANS(H13))+1/TAN(RADIANS(I13)))))))</f>
        <v>13.5</v>
      </c>
      <c r="K13" s="24" t="n">
        <f aca="false">IF(OR(J13="",C13=""),"",J13-C13)</f>
        <v>0</v>
      </c>
      <c r="L13" s="24" t="str">
        <f aca="false">IF(COUNT(D13:E13)&lt;2,"",D13-E13)</f>
        <v/>
      </c>
      <c r="M13" s="24" t="str">
        <f aca="false">IF(COUNT(F13:G13)&lt;2,"",F13-G13)</f>
        <v/>
      </c>
      <c r="N13" s="24" t="n">
        <f aca="false">IF(OR(H13="",I13=""),"",IF(ABS(H13)&lt;0.05,0,SIGN(H13)*DEGREES(ATAN(1/(1/TAN(RADIANS(MAX(ABS(H13),ABS(I13))))+$B$6/$B$5)))))</f>
        <v>11.896755230393419</v>
      </c>
      <c r="O13" s="24" t="n">
        <f aca="false">IF(N13="","",SIGN(H13)*MIN(ABS(H13),ABS(I13))-N13)</f>
        <v>1.6032447696065812</v>
      </c>
    </row>
    <row r="14" customFormat="false" ht="15" hidden="false" customHeight="true" outlineLevel="0" collapsed="false">
      <c r="A14" s="18" t="s">
        <v>482</v>
      </c>
      <c r="B14" s="14" t="n">
        <v>100</v>
      </c>
      <c r="C14" s="19" t="n">
        <v>45</v>
      </c>
      <c r="D14" s="19" t="n">
        <v>41</v>
      </c>
      <c r="E14" s="19"/>
      <c r="F14" s="19" t="n">
        <v>33.5</v>
      </c>
      <c r="G14" s="19"/>
      <c r="H14" s="24" t="n">
        <f aca="false">IF(COUNT(D14:E14)=0,"",AVERAGE(D14:E14))</f>
        <v>41</v>
      </c>
      <c r="I14" s="24" t="n">
        <f aca="false">IF(COUNT(F14:G14)=0,"",AVERAGE(F14:G14))</f>
        <v>33.5</v>
      </c>
      <c r="J14" s="24" t="n">
        <f aca="false">IF(OR(H14="",I14=""),"",IF(ABS(H14+I14)&lt;0.05,0,DEGREES(ATAN(2/(1/TAN(RADIANS(H14))+1/TAN(RADIANS(I14)))))))</f>
        <v>36.92631350724614</v>
      </c>
      <c r="K14" s="24" t="n">
        <f aca="false">IF(OR(J14="",C14=""),"",J14-C14)</f>
        <v>-8.073686492753858</v>
      </c>
      <c r="L14" s="24" t="str">
        <f aca="false">IF(COUNT(D14:E14)&lt;2,"",D14-E14)</f>
        <v/>
      </c>
      <c r="M14" s="24" t="str">
        <f aca="false">IF(COUNT(F14:G14)&lt;2,"",F14-G14)</f>
        <v/>
      </c>
      <c r="N14" s="24" t="n">
        <f aca="false">IF(OR(H14="",I14=""),"",IF(ABS(H14)&lt;0.05,0,SIGN(H14)*DEGREES(ATAN(1/(1/TAN(RADIANS(MAX(ABS(H14),ABS(I14))))+$B$6/$B$5)))))</f>
        <v>30.004438888901348</v>
      </c>
      <c r="O14" s="24" t="n">
        <f aca="false">IF(N14="","",SIGN(H14)*MIN(ABS(H14),ABS(I14))-N14)</f>
        <v>3.4955611110986524</v>
      </c>
    </row>
    <row r="15" customFormat="false" ht="15" hidden="false" customHeight="true" outlineLevel="0" collapsed="false">
      <c r="A15" s="18" t="s">
        <v>483</v>
      </c>
      <c r="B15" s="14"/>
      <c r="C15" s="19"/>
      <c r="D15" s="19"/>
      <c r="E15" s="19"/>
      <c r="F15" s="19"/>
      <c r="G15" s="19"/>
      <c r="H15" s="24" t="str">
        <f aca="false">IF(COUNT(D15:E15)=0,"",AVERAGE(D15:E15))</f>
        <v/>
      </c>
      <c r="I15" s="24" t="str">
        <f aca="false">IF(COUNT(F15:G15)=0,"",AVERAGE(F15:G15))</f>
        <v/>
      </c>
      <c r="J15" s="24" t="str">
        <f aca="false">IF(OR(H15="",I15=""),"",IF(ABS(H15+I15)&lt;0.05,0,DEGREES(ATAN(2/(1/TAN(RADIANS(H15))+1/TAN(RADIANS(I15)))))))</f>
        <v/>
      </c>
      <c r="K15" s="24" t="str">
        <f aca="false">IF(OR(J15="",C15=""),"",J15-C15)</f>
        <v/>
      </c>
      <c r="L15" s="24" t="str">
        <f aca="false">IF(COUNT(D15:E15)&lt;2,"",D15-E15)</f>
        <v/>
      </c>
      <c r="M15" s="24" t="str">
        <f aca="false">IF(COUNT(F15:G15)&lt;2,"",F15-G15)</f>
        <v/>
      </c>
      <c r="N15" s="24" t="str">
        <f aca="false">IF(OR(H15="",I15=""),"",IF(ABS(H15)&lt;0.05,0,SIGN(H15)*DEGREES(ATAN(1/(1/TAN(RADIANS(MAX(ABS(H15),ABS(I15))))+$B$6/$B$5)))))</f>
        <v/>
      </c>
      <c r="O15" s="24" t="str">
        <f aca="false">IF(N15="","",SIGN(H15)*MIN(ABS(H15),ABS(I15))-N15)</f>
        <v/>
      </c>
    </row>
    <row r="16" customFormat="false" ht="15" hidden="false" customHeight="true" outlineLevel="0" collapsed="false">
      <c r="A16" s="18" t="s">
        <v>484</v>
      </c>
      <c r="B16" s="14"/>
      <c r="C16" s="19"/>
      <c r="D16" s="19"/>
      <c r="E16" s="19"/>
      <c r="F16" s="19"/>
      <c r="G16" s="19"/>
      <c r="H16" s="24" t="str">
        <f aca="false">IF(COUNT(D16:E16)=0,"",AVERAGE(D16:E16))</f>
        <v/>
      </c>
      <c r="I16" s="24" t="str">
        <f aca="false">IF(COUNT(F16:G16)=0,"",AVERAGE(F16:G16))</f>
        <v/>
      </c>
      <c r="J16" s="24" t="str">
        <f aca="false">IF(OR(H16="",I16=""),"",IF(ABS(H16+I16)&lt;0.05,0,DEGREES(ATAN(2/(1/TAN(RADIANS(H16))+1/TAN(RADIANS(I16)))))))</f>
        <v/>
      </c>
      <c r="K16" s="24" t="str">
        <f aca="false">IF(OR(J16="",C16=""),"",J16-C16)</f>
        <v/>
      </c>
      <c r="L16" s="24" t="str">
        <f aca="false">IF(COUNT(D16:E16)&lt;2,"",D16-E16)</f>
        <v/>
      </c>
      <c r="M16" s="24" t="str">
        <f aca="false">IF(COUNT(F16:G16)&lt;2,"",F16-G16)</f>
        <v/>
      </c>
      <c r="N16" s="24" t="str">
        <f aca="false">IF(OR(H16="",I16=""),"",IF(ABS(H16)&lt;0.05,0,SIGN(H16)*DEGREES(ATAN(1/(1/TAN(RADIANS(MAX(ABS(H16),ABS(I16))))+$B$6/$B$5)))))</f>
        <v/>
      </c>
      <c r="O16" s="24" t="str">
        <f aca="false">IF(N16="","",SIGN(H16)*MIN(ABS(H16),ABS(I16))-N16)</f>
        <v/>
      </c>
    </row>
    <row r="17" customFormat="false" ht="15" hidden="false" customHeight="true" outlineLevel="0" collapsed="false">
      <c r="A17" s="18" t="s">
        <v>485</v>
      </c>
      <c r="B17" s="14"/>
      <c r="C17" s="19"/>
      <c r="D17" s="19"/>
      <c r="E17" s="19"/>
      <c r="F17" s="19"/>
      <c r="G17" s="19"/>
      <c r="H17" s="24" t="str">
        <f aca="false">IF(COUNT(D17:E17)=0,"",AVERAGE(D17:E17))</f>
        <v/>
      </c>
      <c r="I17" s="24" t="str">
        <f aca="false">IF(COUNT(F17:G17)=0,"",AVERAGE(F17:G17))</f>
        <v/>
      </c>
      <c r="J17" s="24" t="str">
        <f aca="false">IF(OR(H17="",I17=""),"",IF(ABS(H17+I17)&lt;0.05,0,DEGREES(ATAN(2/(1/TAN(RADIANS(H17))+1/TAN(RADIANS(I17)))))))</f>
        <v/>
      </c>
      <c r="K17" s="24" t="str">
        <f aca="false">IF(OR(J17="",C17=""),"",J17-C17)</f>
        <v/>
      </c>
      <c r="L17" s="24" t="str">
        <f aca="false">IF(COUNT(D17:E17)&lt;2,"",D17-E17)</f>
        <v/>
      </c>
      <c r="M17" s="24" t="str">
        <f aca="false">IF(COUNT(F17:G17)&lt;2,"",F17-G17)</f>
        <v/>
      </c>
      <c r="N17" s="24" t="str">
        <f aca="false">IF(OR(H17="",I17=""),"",IF(ABS(H17)&lt;0.05,0,SIGN(H17)*DEGREES(ATAN(1/(1/TAN(RADIANS(MAX(ABS(H17),ABS(I17))))+$B$6/$B$5)))))</f>
        <v/>
      </c>
      <c r="O17" s="24" t="str">
        <f aca="false">IF(N17="","",SIGN(H17)*MIN(ABS(H17),ABS(I17))-N17)</f>
        <v/>
      </c>
    </row>
    <row r="18" customFormat="false" ht="15" hidden="false" customHeight="true" outlineLevel="0" collapsed="false">
      <c r="A18" s="18" t="s">
        <v>486</v>
      </c>
      <c r="B18" s="14"/>
      <c r="C18" s="19"/>
      <c r="D18" s="19"/>
      <c r="E18" s="19"/>
      <c r="F18" s="19"/>
      <c r="G18" s="19"/>
      <c r="H18" s="24" t="str">
        <f aca="false">IF(COUNT(D18:E18)=0,"",AVERAGE(D18:E18))</f>
        <v/>
      </c>
      <c r="I18" s="24" t="str">
        <f aca="false">IF(COUNT(F18:G18)=0,"",AVERAGE(F18:G18))</f>
        <v/>
      </c>
      <c r="J18" s="24" t="str">
        <f aca="false">IF(OR(H18="",I18=""),"",IF(ABS(H18+I18)&lt;0.05,0,DEGREES(ATAN(2/(1/TAN(RADIANS(H18))+1/TAN(RADIANS(I18)))))))</f>
        <v/>
      </c>
      <c r="K18" s="24" t="str">
        <f aca="false">IF(OR(J18="",C18=""),"",J18-C18)</f>
        <v/>
      </c>
      <c r="L18" s="24" t="str">
        <f aca="false">IF(COUNT(D18:E18)&lt;2,"",D18-E18)</f>
        <v/>
      </c>
      <c r="M18" s="24" t="str">
        <f aca="false">IF(COUNT(F18:G18)&lt;2,"",F18-G18)</f>
        <v/>
      </c>
      <c r="N18" s="24" t="str">
        <f aca="false">IF(OR(H18="",I18=""),"",IF(ABS(H18)&lt;0.05,0,SIGN(H18)*DEGREES(ATAN(1/(1/TAN(RADIANS(MAX(ABS(H18),ABS(I18))))+$B$6/$B$5)))))</f>
        <v/>
      </c>
      <c r="O18" s="24" t="str">
        <f aca="false">IF(N18="","",SIGN(H18)*MIN(ABS(H18),ABS(I18))-N18)</f>
        <v/>
      </c>
    </row>
    <row r="19" customFormat="false" ht="15" hidden="false" customHeight="true" outlineLevel="0" collapsed="false">
      <c r="A19" s="18" t="s">
        <v>487</v>
      </c>
      <c r="B19" s="14"/>
      <c r="C19" s="19"/>
      <c r="D19" s="19"/>
      <c r="E19" s="19"/>
      <c r="F19" s="19"/>
      <c r="G19" s="19"/>
      <c r="H19" s="24" t="str">
        <f aca="false">IF(COUNT(D19:E19)=0,"",AVERAGE(D19:E19))</f>
        <v/>
      </c>
      <c r="I19" s="24" t="str">
        <f aca="false">IF(COUNT(F19:G19)=0,"",AVERAGE(F19:G19))</f>
        <v/>
      </c>
      <c r="J19" s="24" t="str">
        <f aca="false">IF(OR(H19="",I19=""),"",IF(ABS(H19+I19)&lt;0.05,0,DEGREES(ATAN(2/(1/TAN(RADIANS(H19))+1/TAN(RADIANS(I19)))))))</f>
        <v/>
      </c>
      <c r="K19" s="24" t="str">
        <f aca="false">IF(OR(J19="",C19=""),"",J19-C19)</f>
        <v/>
      </c>
      <c r="L19" s="24" t="str">
        <f aca="false">IF(COUNT(D19:E19)&lt;2,"",D19-E19)</f>
        <v/>
      </c>
      <c r="M19" s="24" t="str">
        <f aca="false">IF(COUNT(F19:G19)&lt;2,"",F19-G19)</f>
        <v/>
      </c>
      <c r="N19" s="24" t="str">
        <f aca="false">IF(OR(H19="",I19=""),"",IF(ABS(H19)&lt;0.05,0,SIGN(H19)*DEGREES(ATAN(1/(1/TAN(RADIANS(MAX(ABS(H19),ABS(I19))))+$B$6/$B$5)))))</f>
        <v/>
      </c>
      <c r="O19" s="24" t="str">
        <f aca="false">IF(N19="","",SIGN(H19)*MIN(ABS(H19),ABS(I19))-N19)</f>
        <v/>
      </c>
    </row>
    <row r="21" customFormat="false" ht="15" hidden="false" customHeight="true" outlineLevel="0" collapsed="false">
      <c r="A21" s="17" t="s">
        <v>488</v>
      </c>
    </row>
    <row r="22" customFormat="false" ht="15" hidden="false" customHeight="true" outlineLevel="0" collapsed="false">
      <c r="A22" s="18" t="s">
        <v>489</v>
      </c>
      <c r="C22" s="30" t="str">
        <f aca="false">IF(COUNT(L11:M19)=0,"",MAX(MAX(L11:M19),-MIN(L11:M19)))</f>
        <v/>
      </c>
    </row>
    <row r="23" customFormat="false" ht="15" hidden="false" customHeight="true" outlineLevel="0" collapsed="false">
      <c r="A23" s="18" t="s">
        <v>490</v>
      </c>
      <c r="C23" s="30" t="n">
        <f aca="false">IF(COUNT(K11:K19)=0,"",SUMPRODUCT(ABS(N(+K11:K19)))/COUNT(K11:K19))</f>
        <v>4.295528035620938</v>
      </c>
    </row>
    <row r="24" customFormat="false" ht="15" hidden="false" customHeight="true" outlineLevel="0" collapsed="false">
      <c r="A24" s="18" t="s">
        <v>491</v>
      </c>
      <c r="C24" s="30" t="n">
        <f aca="false">IF(COUNT(K11:K19)=0,"",MAX(MAX(K11:K19),-MIN(K11:K19)))</f>
        <v>8.108425649729895</v>
      </c>
    </row>
    <row r="26" customFormat="false" ht="15" hidden="false" customHeight="true" outlineLevel="0" collapsed="false">
      <c r="A26" s="17" t="s">
        <v>492</v>
      </c>
    </row>
    <row r="27" customFormat="false" ht="23.25" hidden="false" customHeight="true" outlineLevel="0" collapsed="false">
      <c r="A27" s="11" t="s">
        <v>463</v>
      </c>
      <c r="B27" s="11" t="s">
        <v>493</v>
      </c>
      <c r="C27" s="11" t="s">
        <v>494</v>
      </c>
      <c r="D27" s="11" t="s">
        <v>495</v>
      </c>
      <c r="E27" s="11" t="s">
        <v>496</v>
      </c>
      <c r="F27" s="11" t="s">
        <v>497</v>
      </c>
      <c r="G27" s="11" t="s">
        <v>498</v>
      </c>
      <c r="H27" s="11" t="s">
        <v>499</v>
      </c>
    </row>
    <row r="28" customFormat="false" ht="15" hidden="false" customHeight="true" outlineLevel="0" collapsed="false">
      <c r="A28" s="18" t="s">
        <v>479</v>
      </c>
      <c r="B28" s="32" t="n">
        <v>-35</v>
      </c>
      <c r="C28" s="32" t="n">
        <v>-32.5</v>
      </c>
      <c r="D28" s="32" t="n">
        <v>-31.9</v>
      </c>
      <c r="E28" s="32" t="n">
        <v>-34.8</v>
      </c>
      <c r="F28" s="32" t="n">
        <v>-34.8</v>
      </c>
      <c r="G28" s="24" t="n">
        <f aca="false">C28-D28</f>
        <v>-0.600000000000001</v>
      </c>
      <c r="H28" s="24" t="n">
        <f aca="false">E28-F28</f>
        <v>0</v>
      </c>
    </row>
    <row r="29" customFormat="false" ht="15" hidden="false" customHeight="true" outlineLevel="0" collapsed="false">
      <c r="A29" s="18" t="s">
        <v>480</v>
      </c>
      <c r="B29" s="32" t="n">
        <v>-30</v>
      </c>
      <c r="C29" s="32" t="n">
        <v>-27</v>
      </c>
      <c r="D29" s="32" t="n">
        <v>-31</v>
      </c>
      <c r="E29" s="32" t="n">
        <v>-29.7</v>
      </c>
      <c r="F29" s="32" t="n">
        <v>-30.2</v>
      </c>
      <c r="G29" s="24" t="n">
        <f aca="false">C29-D29</f>
        <v>4</v>
      </c>
      <c r="H29" s="24" t="n">
        <f aca="false">E29-F29</f>
        <v>0.5</v>
      </c>
    </row>
    <row r="30" customFormat="false" ht="15" hidden="false" customHeight="true" outlineLevel="0" collapsed="false">
      <c r="A30" s="18" t="s">
        <v>481</v>
      </c>
      <c r="B30" s="32" t="n">
        <v>-20</v>
      </c>
      <c r="C30" s="32" t="n">
        <v>-16.5</v>
      </c>
      <c r="D30" s="32" t="n">
        <v>-21.5</v>
      </c>
      <c r="E30" s="32" t="n">
        <v>-19.8</v>
      </c>
      <c r="F30" s="32" t="n">
        <v>-20.3</v>
      </c>
      <c r="G30" s="24" t="n">
        <f aca="false">C30-D30</f>
        <v>5</v>
      </c>
      <c r="H30" s="24" t="n">
        <f aca="false">E30-F30</f>
        <v>0.5</v>
      </c>
    </row>
    <row r="31" customFormat="false" ht="15" hidden="false" customHeight="true" outlineLevel="0" collapsed="false">
      <c r="A31" s="18" t="s">
        <v>482</v>
      </c>
      <c r="B31" s="32" t="n">
        <v>-10</v>
      </c>
      <c r="C31" s="32" t="n">
        <v>-6</v>
      </c>
      <c r="D31" s="32" t="n">
        <v>-12</v>
      </c>
      <c r="E31" s="32" t="n">
        <v>-9.7</v>
      </c>
      <c r="F31" s="32" t="n">
        <v>-10.1</v>
      </c>
      <c r="G31" s="24" t="n">
        <f aca="false">C31-D31</f>
        <v>6</v>
      </c>
      <c r="H31" s="24" t="n">
        <f aca="false">E31-F31</f>
        <v>0.4</v>
      </c>
    </row>
    <row r="32" customFormat="false" ht="15" hidden="false" customHeight="true" outlineLevel="0" collapsed="false">
      <c r="A32" s="18" t="s">
        <v>483</v>
      </c>
      <c r="B32" s="32" t="n">
        <v>0</v>
      </c>
      <c r="C32" s="32" t="n">
        <v>3.5</v>
      </c>
      <c r="D32" s="32" t="n">
        <v>-3.5</v>
      </c>
      <c r="E32" s="32" t="n">
        <v>0.2</v>
      </c>
      <c r="F32" s="32" t="n">
        <v>-0.2</v>
      </c>
      <c r="G32" s="24" t="n">
        <f aca="false">C32-D32</f>
        <v>7</v>
      </c>
      <c r="H32" s="24" t="n">
        <f aca="false">E32-F32</f>
        <v>0.4</v>
      </c>
    </row>
    <row r="33" customFormat="false" ht="15" hidden="false" customHeight="true" outlineLevel="0" collapsed="false">
      <c r="A33" s="18" t="s">
        <v>484</v>
      </c>
      <c r="B33" s="32" t="n">
        <v>10</v>
      </c>
      <c r="C33" s="32" t="n">
        <v>13</v>
      </c>
      <c r="D33" s="32" t="n">
        <v>7.5</v>
      </c>
      <c r="E33" s="32" t="n">
        <v>10.1</v>
      </c>
      <c r="F33" s="32" t="n">
        <v>9.8</v>
      </c>
      <c r="G33" s="24" t="n">
        <f aca="false">C33-D33</f>
        <v>5.5</v>
      </c>
      <c r="H33" s="24" t="n">
        <f aca="false">E33-F33</f>
        <v>0.299999999999999</v>
      </c>
    </row>
    <row r="34" customFormat="false" ht="15" hidden="false" customHeight="true" outlineLevel="0" collapsed="false">
      <c r="A34" s="18" t="s">
        <v>485</v>
      </c>
      <c r="B34" s="32" t="n">
        <v>20</v>
      </c>
      <c r="C34" s="32" t="n">
        <v>22.5</v>
      </c>
      <c r="D34" s="32" t="n">
        <v>17</v>
      </c>
      <c r="E34" s="32" t="n">
        <v>20.2</v>
      </c>
      <c r="F34" s="32" t="n">
        <v>19.7</v>
      </c>
      <c r="G34" s="24" t="n">
        <f aca="false">C34-D34</f>
        <v>5.5</v>
      </c>
      <c r="H34" s="24" t="n">
        <f aca="false">E34-F34</f>
        <v>0.5</v>
      </c>
    </row>
    <row r="35" customFormat="false" ht="15" hidden="false" customHeight="true" outlineLevel="0" collapsed="false">
      <c r="A35" s="18" t="s">
        <v>486</v>
      </c>
      <c r="B35" s="32" t="n">
        <v>30</v>
      </c>
      <c r="C35" s="32" t="n">
        <v>31.5</v>
      </c>
      <c r="D35" s="32" t="n">
        <v>28</v>
      </c>
      <c r="E35" s="32" t="n">
        <v>30.1</v>
      </c>
      <c r="F35" s="32" t="n">
        <v>29.6</v>
      </c>
      <c r="G35" s="24" t="n">
        <f aca="false">C35-D35</f>
        <v>3.5</v>
      </c>
      <c r="H35" s="24" t="n">
        <f aca="false">E35-F35</f>
        <v>0.5</v>
      </c>
    </row>
    <row r="36" customFormat="false" ht="15" hidden="false" customHeight="true" outlineLevel="0" collapsed="false">
      <c r="A36" s="18" t="s">
        <v>487</v>
      </c>
      <c r="B36" s="32" t="n">
        <v>35</v>
      </c>
      <c r="C36" s="32" t="n">
        <v>34</v>
      </c>
      <c r="D36" s="32" t="n">
        <v>34</v>
      </c>
      <c r="E36" s="32" t="n">
        <v>34.9</v>
      </c>
      <c r="F36" s="32" t="n">
        <v>34.9</v>
      </c>
      <c r="G36" s="24" t="n">
        <f aca="false">C36-D36</f>
        <v>0</v>
      </c>
      <c r="H36" s="24" t="n">
        <f aca="false">E36-F36</f>
        <v>0</v>
      </c>
    </row>
    <row r="38" customFormat="false" ht="15" hidden="false" customHeight="true" outlineLevel="0" collapsed="false">
      <c r="A38" s="17" t="s">
        <v>500</v>
      </c>
    </row>
    <row r="39" customFormat="false" ht="34.5" hidden="false" customHeight="true" outlineLevel="0" collapsed="false">
      <c r="A39" s="11" t="s">
        <v>501</v>
      </c>
      <c r="B39" s="11" t="s">
        <v>502</v>
      </c>
      <c r="C39" s="11" t="s">
        <v>503</v>
      </c>
    </row>
    <row r="40" customFormat="false" ht="15" hidden="false" customHeight="true" outlineLevel="0" collapsed="false">
      <c r="A40" s="33" t="n">
        <v>0</v>
      </c>
      <c r="B40" s="14" t="n">
        <v>0</v>
      </c>
      <c r="C40" s="14" t="n">
        <v>0</v>
      </c>
    </row>
    <row r="41" customFormat="false" ht="15" hidden="false" customHeight="true" outlineLevel="0" collapsed="false">
      <c r="A41" s="33" t="n">
        <v>0.04</v>
      </c>
      <c r="B41" s="14" t="n">
        <v>-97.9</v>
      </c>
      <c r="C41" s="14" t="n">
        <v>0</v>
      </c>
    </row>
    <row r="42" customFormat="false" ht="15" hidden="false" customHeight="true" outlineLevel="0" collapsed="false">
      <c r="A42" s="33" t="n">
        <v>0.08</v>
      </c>
      <c r="B42" s="14" t="n">
        <v>-97.9</v>
      </c>
      <c r="C42" s="14" t="n">
        <v>-9.8</v>
      </c>
    </row>
    <row r="43" customFormat="false" ht="15" hidden="false" customHeight="true" outlineLevel="0" collapsed="false">
      <c r="A43" s="33" t="n">
        <v>0.12</v>
      </c>
      <c r="B43" s="14" t="n">
        <v>-97.9</v>
      </c>
      <c r="C43" s="14" t="n">
        <v>-22.8</v>
      </c>
    </row>
    <row r="44" customFormat="false" ht="15" hidden="false" customHeight="true" outlineLevel="0" collapsed="false">
      <c r="A44" s="33" t="n">
        <v>0.16</v>
      </c>
      <c r="B44" s="14" t="n">
        <v>-97.9</v>
      </c>
      <c r="C44" s="14" t="n">
        <v>-35.9</v>
      </c>
    </row>
    <row r="45" customFormat="false" ht="15" hidden="false" customHeight="true" outlineLevel="0" collapsed="false">
      <c r="A45" s="33" t="n">
        <v>0.2</v>
      </c>
      <c r="B45" s="14" t="n">
        <v>-97.9</v>
      </c>
      <c r="C45" s="14" t="n">
        <v>-49</v>
      </c>
    </row>
    <row r="46" customFormat="false" ht="15" hidden="false" customHeight="true" outlineLevel="0" collapsed="false">
      <c r="A46" s="33" t="n">
        <v>0.24</v>
      </c>
      <c r="B46" s="14" t="n">
        <v>-97.9</v>
      </c>
      <c r="C46" s="14" t="n">
        <v>-62</v>
      </c>
    </row>
    <row r="47" customFormat="false" ht="15" hidden="false" customHeight="true" outlineLevel="0" collapsed="false">
      <c r="A47" s="33" t="n">
        <v>0.28</v>
      </c>
      <c r="B47" s="14" t="n">
        <v>-97.9</v>
      </c>
      <c r="C47" s="14" t="n">
        <v>-75.1</v>
      </c>
    </row>
    <row r="48" customFormat="false" ht="15" hidden="false" customHeight="true" outlineLevel="0" collapsed="false">
      <c r="A48" s="33" t="n">
        <v>0.32</v>
      </c>
      <c r="B48" s="14" t="n">
        <v>-97.9</v>
      </c>
      <c r="C48" s="14" t="n">
        <v>-88.1</v>
      </c>
    </row>
    <row r="49" customFormat="false" ht="15" hidden="false" customHeight="true" outlineLevel="0" collapsed="false">
      <c r="A49" s="33" t="n">
        <v>0.36</v>
      </c>
      <c r="B49" s="14" t="n">
        <v>-97.9</v>
      </c>
      <c r="C49" s="14" t="n">
        <v>-97.9</v>
      </c>
    </row>
    <row r="50" customFormat="false" ht="15" hidden="false" customHeight="true" outlineLevel="0" collapsed="false">
      <c r="A50" s="33" t="n">
        <v>0.4</v>
      </c>
      <c r="B50" s="14" t="n">
        <v>-97.9</v>
      </c>
      <c r="C50" s="14" t="n">
        <v>-97.8</v>
      </c>
    </row>
    <row r="51" customFormat="false" ht="15" hidden="false" customHeight="true" outlineLevel="0" collapsed="false">
      <c r="A51" s="33" t="n">
        <v>0.44</v>
      </c>
      <c r="B51" s="14" t="n">
        <v>-97.9</v>
      </c>
      <c r="C51" s="14" t="n">
        <v>-98</v>
      </c>
    </row>
    <row r="52" customFormat="false" ht="15" hidden="false" customHeight="true" outlineLevel="0" collapsed="false">
      <c r="A52" s="33" t="n">
        <v>0.48</v>
      </c>
      <c r="B52" s="14" t="n">
        <v>-97.9</v>
      </c>
      <c r="C52" s="14" t="n">
        <v>-97.5</v>
      </c>
    </row>
    <row r="53" customFormat="false" ht="15" hidden="false" customHeight="true" outlineLevel="0" collapsed="false">
      <c r="A53" s="33" t="n">
        <v>0.52</v>
      </c>
      <c r="B53" s="14" t="n">
        <v>-97.9</v>
      </c>
      <c r="C53" s="14" t="n">
        <v>-98.3</v>
      </c>
    </row>
    <row r="54" customFormat="false" ht="15" hidden="false" customHeight="true" outlineLevel="0" collapsed="false">
      <c r="A54" s="33" t="n">
        <v>0.56</v>
      </c>
      <c r="B54" s="14" t="n">
        <v>-97.9</v>
      </c>
      <c r="C54" s="14" t="n">
        <v>-97.6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6"/>
    <col collapsed="false" customWidth="true" hidden="false" outlineLevel="0" max="6" min="4" style="1" width="14"/>
    <col collapsed="false" customWidth="true" hidden="false" outlineLevel="0" max="7" min="7" style="1" width="18"/>
    <col collapsed="false" customWidth="true" hidden="false" outlineLevel="0" max="9" min="8" style="1" width="14"/>
  </cols>
  <sheetData>
    <row r="1" customFormat="false" ht="17.25" hidden="false" customHeight="true" outlineLevel="0" collapsed="false">
      <c r="A1" s="2" t="s">
        <v>504</v>
      </c>
    </row>
    <row r="2" customFormat="false" ht="15" hidden="false" customHeight="true" outlineLevel="0" collapsed="false">
      <c r="A2" s="3" t="s">
        <v>505</v>
      </c>
    </row>
    <row r="4" customFormat="false" ht="15" hidden="false" customHeight="true" outlineLevel="0" collapsed="false">
      <c r="A4" s="18" t="s">
        <v>458</v>
      </c>
      <c r="B4" s="30" t="n">
        <f aca="false">Mass_CoG!B8</f>
        <v>102</v>
      </c>
    </row>
    <row r="5" customFormat="false" ht="15" hidden="false" customHeight="true" outlineLevel="0" collapsed="false">
      <c r="A5" s="18" t="s">
        <v>459</v>
      </c>
      <c r="B5" s="34" t="n">
        <v>59.3</v>
      </c>
    </row>
    <row r="6" customFormat="false" ht="15" hidden="false" customHeight="true" outlineLevel="0" collapsed="false">
      <c r="A6" s="18" t="s">
        <v>506</v>
      </c>
      <c r="B6" s="34" t="n">
        <v>15.55</v>
      </c>
    </row>
    <row r="7" customFormat="false" ht="15" hidden="false" customHeight="true" outlineLevel="0" collapsed="false">
      <c r="A7" s="18" t="s">
        <v>507</v>
      </c>
      <c r="B7" s="34" t="n">
        <v>15.3</v>
      </c>
    </row>
    <row r="8" customFormat="false" ht="15" hidden="false" customHeight="true" outlineLevel="0" collapsed="false">
      <c r="A8" s="18" t="s">
        <v>508</v>
      </c>
      <c r="B8" s="34" t="n">
        <v>16</v>
      </c>
    </row>
    <row r="9" customFormat="false" ht="15" hidden="false" customHeight="true" outlineLevel="0" collapsed="false">
      <c r="A9" s="18" t="s">
        <v>509</v>
      </c>
      <c r="B9" s="30" t="n">
        <f aca="false">DEGREES(ATAN(B5/2/B4))</f>
        <v>16.2084226543524</v>
      </c>
    </row>
    <row r="10" customFormat="false" ht="15" hidden="false" customHeight="true" outlineLevel="0" collapsed="false">
      <c r="A10" s="18" t="s">
        <v>510</v>
      </c>
      <c r="B10" s="34" t="n">
        <v>50.9</v>
      </c>
    </row>
    <row r="11" customFormat="false" ht="48" hidden="false" customHeight="true" outlineLevel="0" collapsed="false">
      <c r="A11" s="16" t="s">
        <v>511</v>
      </c>
      <c r="B11" s="16"/>
      <c r="C11" s="16"/>
      <c r="D11" s="16"/>
      <c r="E11" s="16"/>
      <c r="F11" s="16"/>
      <c r="G11" s="16"/>
      <c r="H11" s="16"/>
    </row>
    <row r="13" customFormat="false" ht="34.5" hidden="false" customHeight="true" outlineLevel="0" collapsed="false">
      <c r="A13" s="11" t="s">
        <v>512</v>
      </c>
      <c r="B13" s="11" t="s">
        <v>513</v>
      </c>
      <c r="C13" s="11" t="s">
        <v>514</v>
      </c>
      <c r="D13" s="11" t="s">
        <v>476</v>
      </c>
      <c r="E13" s="11" t="s">
        <v>515</v>
      </c>
      <c r="F13" s="11" t="s">
        <v>516</v>
      </c>
      <c r="G13" s="11" t="s">
        <v>517</v>
      </c>
      <c r="H13" s="11" t="s">
        <v>518</v>
      </c>
      <c r="I13" s="11" t="s">
        <v>519</v>
      </c>
    </row>
    <row r="14" customFormat="false" ht="15" hidden="false" customHeight="true" outlineLevel="0" collapsed="false">
      <c r="A14" s="35" t="n">
        <v>0</v>
      </c>
      <c r="B14" s="22" t="n">
        <v>0</v>
      </c>
      <c r="C14" s="22" t="n">
        <v>0</v>
      </c>
      <c r="D14" s="30" t="n">
        <f aca="false">IF(A14=0,0,DEGREES(ATAN(1/(1/TAN(RADIANS(A14))+$B$5/$B$4))))</f>
        <v>0</v>
      </c>
      <c r="E14" s="30" t="n">
        <f aca="false">B14-D14</f>
        <v>0</v>
      </c>
      <c r="F14" s="29" t="str">
        <f aca="false">IF(A14-D14=0,"",(A14-B14)/(A14-D14))</f>
        <v/>
      </c>
      <c r="G14" s="25" t="str">
        <f aca="false">IF(A14=0,"",$B$4/TAN(RADIANS(A14))+$B$5/2)</f>
        <v/>
      </c>
      <c r="H14" s="25" t="str">
        <f aca="false">IF(B14=0,"",$B$4/TAN(RADIANS(B14))-$B$5/2)</f>
        <v/>
      </c>
      <c r="I14" s="25" t="str">
        <f aca="false">IF(G14="","",H14-G14)</f>
        <v/>
      </c>
    </row>
    <row r="15" customFormat="false" ht="15" hidden="false" customHeight="true" outlineLevel="0" collapsed="false">
      <c r="A15" s="35" t="n">
        <v>2</v>
      </c>
      <c r="B15" s="22" t="n">
        <v>1.98</v>
      </c>
      <c r="C15" s="22" t="n">
        <v>1.98</v>
      </c>
      <c r="D15" s="30" t="n">
        <f aca="false">IF(A15=0,0,DEGREES(ATAN(1/(1/TAN(RADIANS(A15))+$B$5/$B$4))))</f>
        <v>1.96023534586712</v>
      </c>
      <c r="E15" s="30" t="n">
        <f aca="false">B15-D15</f>
        <v>0.0197646541328764</v>
      </c>
      <c r="F15" s="29" t="n">
        <f aca="false">IF(A15-D15=0,"",(A15-B15)/(A15-D15))</f>
        <v>0.502959234428862</v>
      </c>
      <c r="G15" s="25" t="n">
        <f aca="false">IF(A15=0,"",$B$4/TAN(RADIANS(A15))+$B$5/2)</f>
        <v>2950.54783485739</v>
      </c>
      <c r="H15" s="25" t="n">
        <f aca="false">IF(B15=0,"",$B$4/TAN(RADIANS(B15))-$B$5/2)</f>
        <v>2920.7757135882</v>
      </c>
      <c r="I15" s="25" t="n">
        <f aca="false">IF(G15="","",H15-G15)</f>
        <v>-29.772121269194</v>
      </c>
    </row>
    <row r="16" customFormat="false" ht="15" hidden="false" customHeight="true" outlineLevel="0" collapsed="false">
      <c r="A16" s="35" t="n">
        <v>4</v>
      </c>
      <c r="B16" s="22" t="n">
        <v>3.91</v>
      </c>
      <c r="C16" s="22" t="n">
        <v>3.91</v>
      </c>
      <c r="D16" s="30" t="n">
        <f aca="false">IF(A16=0,0,DEGREES(ATAN(1/(1/TAN(RADIANS(A16))+$B$5/$B$4))))</f>
        <v>3.84421647639618</v>
      </c>
      <c r="E16" s="30" t="n">
        <f aca="false">B16-D16</f>
        <v>0.0657835236038205</v>
      </c>
      <c r="F16" s="29" t="n">
        <f aca="false">IF(A16-D16=0,"",(A16-B16)/(A16-D16))</f>
        <v>0.577724767793048</v>
      </c>
      <c r="G16" s="25" t="n">
        <f aca="false">IF(A16=0,"",$B$4/TAN(RADIANS(A16))+$B$5/2)</f>
        <v>1488.31795818462</v>
      </c>
      <c r="H16" s="25" t="n">
        <f aca="false">IF(B16=0,"",$B$4/TAN(RADIANS(B16))-$B$5/2)</f>
        <v>1462.70154764895</v>
      </c>
      <c r="I16" s="25" t="n">
        <f aca="false">IF(G16="","",H16-G16)</f>
        <v>-25.6164105356711</v>
      </c>
    </row>
    <row r="17" customFormat="false" ht="15" hidden="false" customHeight="true" outlineLevel="0" collapsed="false">
      <c r="A17" s="35" t="n">
        <v>6</v>
      </c>
      <c r="B17" s="22" t="n">
        <v>5.8</v>
      </c>
      <c r="C17" s="22" t="n">
        <v>5.8</v>
      </c>
      <c r="D17" s="30" t="n">
        <f aca="false">IF(A17=0,0,DEGREES(ATAN(1/(1/TAN(RADIANS(A17))+$B$5/$B$4))))</f>
        <v>5.65679295988501</v>
      </c>
      <c r="E17" s="30" t="n">
        <f aca="false">B17-D17</f>
        <v>0.143207040114995</v>
      </c>
      <c r="F17" s="29" t="n">
        <f aca="false">IF(A17-D17=0,"",(A17-B17)/(A17-D17))</f>
        <v>0.582738628942425</v>
      </c>
      <c r="G17" s="25" t="n">
        <f aca="false">IF(A17=0,"",$B$4/TAN(RADIANS(A17))+$B$5/2)</f>
        <v>1000.1151743307</v>
      </c>
      <c r="H17" s="25" t="n">
        <f aca="false">IF(B17=0,"",$B$4/TAN(RADIANS(B17))-$B$5/2)</f>
        <v>974.521289957586</v>
      </c>
      <c r="I17" s="25" t="n">
        <f aca="false">IF(G17="","",H17-G17)</f>
        <v>-25.5938843731177</v>
      </c>
    </row>
    <row r="18" customFormat="false" ht="15" hidden="false" customHeight="true" outlineLevel="0" collapsed="false">
      <c r="A18" s="35" t="n">
        <v>8</v>
      </c>
      <c r="B18" s="22" t="n">
        <v>7.65</v>
      </c>
      <c r="C18" s="22" t="n">
        <v>7.65</v>
      </c>
      <c r="D18" s="30" t="n">
        <f aca="false">IF(A18=0,0,DEGREES(ATAN(1/(1/TAN(RADIANS(A18))+$B$5/$B$4))))</f>
        <v>7.40269188648507</v>
      </c>
      <c r="E18" s="30" t="n">
        <f aca="false">B18-D18</f>
        <v>0.247308113514934</v>
      </c>
      <c r="F18" s="29" t="n">
        <f aca="false">IF(A18-D18=0,"",(A18-B18)/(A18-D18))</f>
        <v>0.585962239723116</v>
      </c>
      <c r="G18" s="25" t="n">
        <f aca="false">IF(A18=0,"",$B$4/TAN(RADIANS(A18))+$B$5/2)</f>
        <v>755.417711683189</v>
      </c>
      <c r="H18" s="25" t="n">
        <f aca="false">IF(B18=0,"",$B$4/TAN(RADIANS(B18))-$B$5/2)</f>
        <v>729.748721123628</v>
      </c>
      <c r="I18" s="25" t="n">
        <f aca="false">IF(G18="","",H18-G18)</f>
        <v>-25.6689905595612</v>
      </c>
    </row>
    <row r="19" customFormat="false" ht="15" hidden="false" customHeight="true" outlineLevel="0" collapsed="false">
      <c r="A19" s="35" t="n">
        <v>10</v>
      </c>
      <c r="B19" s="22" t="n">
        <v>9.45</v>
      </c>
      <c r="C19" s="22" t="n">
        <v>9.45</v>
      </c>
      <c r="D19" s="30" t="n">
        <f aca="false">IF(A19=0,0,DEGREES(ATAN(1/(1/TAN(RADIANS(A19))+$B$5/$B$4))))</f>
        <v>9.08648232067767</v>
      </c>
      <c r="E19" s="30" t="n">
        <f aca="false">B19-D19</f>
        <v>0.363517679322332</v>
      </c>
      <c r="F19" s="29" t="n">
        <f aca="false">IF(A19-D19=0,"",(A19-B19)/(A19-D19))</f>
        <v>0.602068260362518</v>
      </c>
      <c r="G19" s="25" t="n">
        <f aca="false">IF(A19=0,"",$B$4/TAN(RADIANS(A19))+$B$5/2)</f>
        <v>608.120745601006</v>
      </c>
      <c r="H19" s="25" t="n">
        <f aca="false">IF(B19=0,"",$B$4/TAN(RADIANS(B19))-$B$5/2)</f>
        <v>583.162696842938</v>
      </c>
      <c r="I19" s="25" t="n">
        <f aca="false">IF(G19="","",H19-G19)</f>
        <v>-24.9580487580685</v>
      </c>
    </row>
    <row r="20" customFormat="false" ht="15" hidden="false" customHeight="true" outlineLevel="0" collapsed="false">
      <c r="A20" s="35" t="n">
        <v>12</v>
      </c>
      <c r="B20" s="22" t="n">
        <v>11.22</v>
      </c>
      <c r="C20" s="22" t="n">
        <v>11.21</v>
      </c>
      <c r="D20" s="30" t="n">
        <f aca="false">IF(A20=0,0,DEGREES(ATAN(1/(1/TAN(RADIANS(A20))+$B$5/$B$4))))</f>
        <v>10.7125521046053</v>
      </c>
      <c r="E20" s="30" t="n">
        <f aca="false">B20-D20</f>
        <v>0.507447895394666</v>
      </c>
      <c r="F20" s="29" t="n">
        <f aca="false">IF(A20-D20=0,"",(A20-B20)/(A20-D20))</f>
        <v>0.605849761213747</v>
      </c>
      <c r="G20" s="25" t="n">
        <f aca="false">IF(A20=0,"",$B$4/TAN(RADIANS(A20))+$B$5/2)</f>
        <v>509.522271166802</v>
      </c>
      <c r="H20" s="25" t="n">
        <f aca="false">IF(B20=0,"",$B$4/TAN(RADIANS(B20))-$B$5/2)</f>
        <v>484.545556891179</v>
      </c>
      <c r="I20" s="25" t="n">
        <f aca="false">IF(G20="","",H20-G20)</f>
        <v>-24.976714275623</v>
      </c>
    </row>
    <row r="21" customFormat="false" ht="15" hidden="false" customHeight="true" outlineLevel="0" collapsed="false">
      <c r="A21" s="35" t="n">
        <v>14</v>
      </c>
      <c r="B21" s="22" t="n">
        <v>12.94</v>
      </c>
      <c r="C21" s="22" t="n">
        <v>12.93</v>
      </c>
      <c r="D21" s="30" t="n">
        <f aca="false">IF(A21=0,0,DEGREES(ATAN(1/(1/TAN(RADIANS(A21))+$B$5/$B$4))))</f>
        <v>12.2850943852934</v>
      </c>
      <c r="E21" s="30" t="n">
        <f aca="false">B21-D21</f>
        <v>0.654905614706637</v>
      </c>
      <c r="F21" s="29" t="n">
        <f aca="false">IF(A21-D21=0,"",(A21-B21)/(A21-D21))</f>
        <v>0.61810981951991</v>
      </c>
      <c r="G21" s="25" t="n">
        <f aca="false">IF(A21=0,"",$B$4/TAN(RADIANS(A21))+$B$5/2)</f>
        <v>438.749655220656</v>
      </c>
      <c r="H21" s="25" t="n">
        <f aca="false">IF(B21=0,"",$B$4/TAN(RADIANS(B21))-$B$5/2)</f>
        <v>414.280985511047</v>
      </c>
      <c r="I21" s="25" t="n">
        <f aca="false">IF(G21="","",H21-G21)</f>
        <v>-24.4686697096088</v>
      </c>
    </row>
    <row r="22" customFormat="false" ht="15" hidden="false" customHeight="true" outlineLevel="0" collapsed="false">
      <c r="A22" s="35" t="n">
        <v>16</v>
      </c>
      <c r="B22" s="22" t="n">
        <v>14.61</v>
      </c>
      <c r="C22" s="22" t="n">
        <v>14.61</v>
      </c>
      <c r="D22" s="30" t="n">
        <f aca="false">IF(A22=0,0,DEGREES(ATAN(1/(1/TAN(RADIANS(A22))+$B$5/$B$4))))</f>
        <v>13.8081016567179</v>
      </c>
      <c r="E22" s="30" t="n">
        <f aca="false">B22-D22</f>
        <v>0.801898343282073</v>
      </c>
      <c r="F22" s="29" t="n">
        <f aca="false">IF(A22-D22=0,"",(A22-B22)/(A22-D22))</f>
        <v>0.634153497245982</v>
      </c>
      <c r="G22" s="25" t="n">
        <f aca="false">IF(A22=0,"",$B$4/TAN(RADIANS(A22))+$B$5/2)</f>
        <v>385.366273271773</v>
      </c>
      <c r="H22" s="25" t="n">
        <f aca="false">IF(B22=0,"",$B$4/TAN(RADIANS(B22))-$B$5/2)</f>
        <v>361.654038399461</v>
      </c>
      <c r="I22" s="25" t="n">
        <f aca="false">IF(G22="","",H22-G22)</f>
        <v>-23.7122348723114</v>
      </c>
    </row>
    <row r="23" customFormat="false" ht="15" hidden="false" customHeight="true" outlineLevel="0" collapsed="false">
      <c r="A23" s="35" t="n">
        <v>18</v>
      </c>
      <c r="B23" s="22" t="n">
        <v>16.25</v>
      </c>
      <c r="C23" s="22" t="n">
        <v>16.24</v>
      </c>
      <c r="D23" s="30" t="n">
        <f aca="false">IF(A23=0,0,DEGREES(ATAN(1/(1/TAN(RADIANS(A23))+$B$5/$B$4))))</f>
        <v>15.2853654981238</v>
      </c>
      <c r="E23" s="30" t="n">
        <f aca="false">B23-D23</f>
        <v>0.964634501876176</v>
      </c>
      <c r="F23" s="29" t="n">
        <f aca="false">IF(A23-D23=0,"",(A23-B23)/(A23-D23))</f>
        <v>0.644654003620198</v>
      </c>
      <c r="G23" s="25" t="n">
        <f aca="false">IF(A23=0,"",$B$4/TAN(RADIANS(A23))+$B$5/2)</f>
        <v>343.573720791876</v>
      </c>
      <c r="H23" s="25" t="n">
        <f aca="false">IF(B23=0,"",$B$4/TAN(RADIANS(B23))-$B$5/2)</f>
        <v>320.296146529749</v>
      </c>
      <c r="I23" s="25" t="n">
        <f aca="false">IF(G23="","",H23-G23)</f>
        <v>-23.2775742621269</v>
      </c>
    </row>
    <row r="24" customFormat="false" ht="15" hidden="false" customHeight="true" outlineLevel="0" collapsed="false">
      <c r="A24" s="35" t="n">
        <v>20</v>
      </c>
      <c r="B24" s="22" t="n">
        <v>17.83</v>
      </c>
      <c r="C24" s="22" t="n">
        <v>17.82</v>
      </c>
      <c r="D24" s="30" t="n">
        <f aca="false">IF(A24=0,0,DEGREES(ATAN(1/(1/TAN(RADIANS(A24))+$B$5/$B$4))))</f>
        <v>16.7204805381874</v>
      </c>
      <c r="E24" s="30" t="n">
        <f aca="false">B24-D24</f>
        <v>1.10951946181255</v>
      </c>
      <c r="F24" s="29" t="n">
        <f aca="false">IF(A24-D24=0,"",(A24-B24)/(A24-D24))</f>
        <v>0.661682305980482</v>
      </c>
      <c r="G24" s="25" t="n">
        <f aca="false">IF(A24=0,"",$B$4/TAN(RADIANS(A24))+$B$5/2)</f>
        <v>309.892696784372</v>
      </c>
      <c r="H24" s="25" t="n">
        <f aca="false">IF(B24=0,"",$B$4/TAN(RADIANS(B24))-$B$5/2)</f>
        <v>287.472226067273</v>
      </c>
      <c r="I24" s="25" t="n">
        <f aca="false">IF(G24="","",H24-G24)</f>
        <v>-22.4204707170987</v>
      </c>
    </row>
    <row r="25" customFormat="false" ht="15" hidden="false" customHeight="true" outlineLevel="0" collapsed="false">
      <c r="A25" s="35" t="n">
        <v>22</v>
      </c>
      <c r="B25" s="22" t="n">
        <v>19.37</v>
      </c>
      <c r="C25" s="22" t="n">
        <v>19.36</v>
      </c>
      <c r="D25" s="30" t="n">
        <f aca="false">IF(A25=0,0,DEGREES(ATAN(1/(1/TAN(RADIANS(A25))+$B$5/$B$4))))</f>
        <v>18.1168514750695</v>
      </c>
      <c r="E25" s="30" t="n">
        <f aca="false">B25-D25</f>
        <v>1.2531485249305</v>
      </c>
      <c r="F25" s="29" t="n">
        <f aca="false">IF(A25-D25=0,"",(A25-B25)/(A25-D25))</f>
        <v>0.677285450998059</v>
      </c>
      <c r="G25" s="25" t="n">
        <f aca="false">IF(A25=0,"",$B$4/TAN(RADIANS(A25))+$B$5/2)</f>
        <v>282.108859048462</v>
      </c>
      <c r="H25" s="25" t="n">
        <f aca="false">IF(B25=0,"",$B$4/TAN(RADIANS(B25))-$B$5/2)</f>
        <v>260.479482179698</v>
      </c>
      <c r="I25" s="25" t="n">
        <f aca="false">IF(G25="","",H25-G25)</f>
        <v>-21.6293768687645</v>
      </c>
    </row>
    <row r="26" customFormat="false" ht="15" hidden="false" customHeight="true" outlineLevel="0" collapsed="false">
      <c r="A26" s="35" t="n">
        <v>24</v>
      </c>
      <c r="B26" s="22" t="n">
        <v>20.87</v>
      </c>
      <c r="C26" s="22" t="n">
        <v>20.85</v>
      </c>
      <c r="D26" s="30" t="n">
        <f aca="false">IF(A26=0,0,DEGREES(ATAN(1/(1/TAN(RADIANS(A26))+$B$5/$B$4))))</f>
        <v>19.4777022353402</v>
      </c>
      <c r="E26" s="30" t="n">
        <f aca="false">B26-D26</f>
        <v>1.39229776465983</v>
      </c>
      <c r="F26" s="29" t="n">
        <f aca="false">IF(A26-D26=0,"",(A26-B26)/(A26-D26))</f>
        <v>0.692126030368865</v>
      </c>
      <c r="G26" s="25" t="n">
        <f aca="false">IF(A26=0,"",$B$4/TAN(RADIANS(A26))+$B$5/2)</f>
        <v>258.74575093823</v>
      </c>
      <c r="H26" s="25" t="n">
        <f aca="false">IF(B26=0,"",$B$4/TAN(RADIANS(B26))-$B$5/2)</f>
        <v>237.881834726897</v>
      </c>
      <c r="I26" s="25" t="n">
        <f aca="false">IF(G26="","",H26-G26)</f>
        <v>-20.8639162113326</v>
      </c>
    </row>
    <row r="27" customFormat="false" ht="15" hidden="false" customHeight="true" outlineLevel="0" collapsed="false">
      <c r="A27" s="35" t="n">
        <v>26</v>
      </c>
      <c r="B27" s="22" t="n">
        <v>22.31</v>
      </c>
      <c r="C27" s="22" t="n">
        <v>22.29</v>
      </c>
      <c r="D27" s="30" t="n">
        <f aca="false">IF(A27=0,0,DEGREES(ATAN(1/(1/TAN(RADIANS(A27))+$B$5/$B$4))))</f>
        <v>20.8060865636446</v>
      </c>
      <c r="E27" s="30" t="n">
        <f aca="false">B27-D27</f>
        <v>1.50391343635543</v>
      </c>
      <c r="F27" s="29" t="n">
        <f aca="false">IF(A27-D27=0,"",(A27-B27)/(A27-D27))</f>
        <v>0.710446957812465</v>
      </c>
      <c r="G27" s="25" t="n">
        <f aca="false">IF(A27=0,"",$B$4/TAN(RADIANS(A27))+$B$5/2)</f>
        <v>238.780991841088</v>
      </c>
      <c r="H27" s="25" t="n">
        <f aca="false">IF(B27=0,"",$B$4/TAN(RADIANS(B27))-$B$5/2)</f>
        <v>218.928112142376</v>
      </c>
      <c r="I27" s="25" t="n">
        <f aca="false">IF(G27="","",H27-G27)</f>
        <v>-19.8528796987125</v>
      </c>
    </row>
    <row r="28" customFormat="false" ht="15" hidden="false" customHeight="true" outlineLevel="0" collapsed="false">
      <c r="A28" s="35" t="n">
        <v>28</v>
      </c>
      <c r="B28" s="22" t="n">
        <v>23.7</v>
      </c>
      <c r="C28" s="22" t="n">
        <v>23.68</v>
      </c>
      <c r="D28" s="30" t="n">
        <f aca="false">IF(A28=0,0,DEGREES(ATAN(1/(1/TAN(RADIANS(A28))+$B$5/$B$4))))</f>
        <v>22.1048995048253</v>
      </c>
      <c r="E28" s="30" t="n">
        <f aca="false">B28-D28</f>
        <v>1.59510049517474</v>
      </c>
      <c r="F28" s="29" t="n">
        <f aca="false">IF(A28-D28=0,"",(A28-B28)/(A28-D28))</f>
        <v>0.729419287002764</v>
      </c>
      <c r="G28" s="25" t="n">
        <f aca="false">IF(A28=0,"",$B$4/TAN(RADIANS(A28))+$B$5/2)</f>
        <v>221.484099465326</v>
      </c>
      <c r="H28" s="25" t="n">
        <f aca="false">IF(B28=0,"",$B$4/TAN(RADIANS(B28))-$B$5/2)</f>
        <v>202.712485737985</v>
      </c>
      <c r="I28" s="25" t="n">
        <f aca="false">IF(G28="","",H28-G28)</f>
        <v>-18.7716137273411</v>
      </c>
    </row>
    <row r="29" customFormat="false" ht="15" hidden="false" customHeight="true" outlineLevel="0" collapsed="false">
      <c r="A29" s="35" t="n">
        <v>30</v>
      </c>
      <c r="B29" s="22" t="n">
        <v>25.04</v>
      </c>
      <c r="C29" s="22" t="n">
        <v>25.01</v>
      </c>
      <c r="D29" s="30" t="n">
        <f aca="false">IF(A29=0,0,DEGREES(ATAN(1/(1/TAN(RADIANS(A29))+$B$5/$B$4))))</f>
        <v>23.3768893765543</v>
      </c>
      <c r="E29" s="30" t="n">
        <f aca="false">B29-D29</f>
        <v>1.66311062344568</v>
      </c>
      <c r="F29" s="29" t="n">
        <f aca="false">IF(A29-D29=0,"",(A29-B29)/(A29-D29))</f>
        <v>0.748892821213298</v>
      </c>
      <c r="G29" s="25" t="n">
        <f aca="false">IF(A29=0,"",$B$4/TAN(RADIANS(A29))+$B$5/2)</f>
        <v>206.319182372026</v>
      </c>
      <c r="H29" s="25" t="n">
        <f aca="false">IF(B29=0,"",$B$4/TAN(RADIANS(B29))-$B$5/2)</f>
        <v>188.691606636529</v>
      </c>
      <c r="I29" s="25" t="n">
        <f aca="false">IF(G29="","",H29-G29)</f>
        <v>-17.6275757354967</v>
      </c>
    </row>
    <row r="30" customFormat="false" ht="15" hidden="false" customHeight="true" outlineLevel="0" collapsed="false">
      <c r="A30" s="35" t="n">
        <v>32</v>
      </c>
      <c r="B30" s="22" t="n">
        <v>26.33</v>
      </c>
      <c r="C30" s="22" t="n">
        <v>26.28</v>
      </c>
      <c r="D30" s="30" t="n">
        <f aca="false">IF(A30=0,0,DEGREES(ATAN(1/(1/TAN(RADIANS(A30))+$B$5/$B$4))))</f>
        <v>24.6246699387594</v>
      </c>
      <c r="E30" s="30" t="n">
        <f aca="false">B30-D30</f>
        <v>1.7053300612406</v>
      </c>
      <c r="F30" s="29" t="n">
        <f aca="false">IF(A30-D30=0,"",(A30-B30)/(A30-D30))</f>
        <v>0.768779153328665</v>
      </c>
      <c r="G30" s="25" t="n">
        <f aca="false">IF(A30=0,"",$B$4/TAN(RADIANS(A30))+$B$5/2)</f>
        <v>192.884121962187</v>
      </c>
      <c r="H30" s="25" t="n">
        <f aca="false">IF(B30=0,"",$B$4/TAN(RADIANS(B30))-$B$5/2)</f>
        <v>176.459553011404</v>
      </c>
      <c r="I30" s="25" t="n">
        <f aca="false">IF(G30="","",H30-G30)</f>
        <v>-16.4245689507833</v>
      </c>
    </row>
    <row r="31" customFormat="false" ht="15" hidden="false" customHeight="true" outlineLevel="0" collapsed="false">
      <c r="A31" s="35" t="n">
        <v>34</v>
      </c>
      <c r="B31" s="22" t="n">
        <v>27.55</v>
      </c>
      <c r="C31" s="22" t="n">
        <v>27.5</v>
      </c>
      <c r="D31" s="30" t="n">
        <f aca="false">IF(A31=0,0,DEGREES(ATAN(1/(1/TAN(RADIANS(A31))+$B$5/$B$4))))</f>
        <v>25.8507325512139</v>
      </c>
      <c r="E31" s="30" t="n">
        <f aca="false">B31-D31</f>
        <v>1.69926744878607</v>
      </c>
      <c r="F31" s="29" t="n">
        <f aca="false">IF(A31-D31=0,"",(A31-B31)/(A31-D31))</f>
        <v>0.791482184200594</v>
      </c>
      <c r="G31" s="25" t="n">
        <f aca="false">IF(A31=0,"",$B$4/TAN(RADIANS(A31))+$B$5/2)</f>
        <v>180.8712187883</v>
      </c>
      <c r="H31" s="25" t="n">
        <f aca="false">IF(B31=0,"",$B$4/TAN(RADIANS(B31))-$B$5/2)</f>
        <v>165.873394884148</v>
      </c>
      <c r="I31" s="25" t="n">
        <f aca="false">IF(G31="","",H31-G31)</f>
        <v>-14.9978239041511</v>
      </c>
    </row>
    <row r="32" customFormat="false" ht="15" hidden="false" customHeight="true" outlineLevel="0" collapsed="false">
      <c r="A32" s="35" t="n">
        <v>36</v>
      </c>
      <c r="B32" s="22" t="n">
        <v>28.72</v>
      </c>
      <c r="C32" s="22" t="n">
        <v>28.66</v>
      </c>
      <c r="D32" s="30" t="n">
        <f aca="false">IF(A32=0,0,DEGREES(ATAN(1/(1/TAN(RADIANS(A32))+$B$5/$B$4))))</f>
        <v>27.0574581769603</v>
      </c>
      <c r="E32" s="30" t="n">
        <f aca="false">B32-D32</f>
        <v>1.66254182303966</v>
      </c>
      <c r="F32" s="29" t="n">
        <f aca="false">IF(A32-D32=0,"",(A32-B32)/(A32-D32))</f>
        <v>0.814086212182282</v>
      </c>
      <c r="G32" s="25" t="n">
        <f aca="false">IF(A32=0,"",$B$4/TAN(RADIANS(A32))+$B$5/2)</f>
        <v>170.04095588806</v>
      </c>
      <c r="H32" s="25" t="n">
        <f aca="false">IF(B32=0,"",$B$4/TAN(RADIANS(B32))-$B$5/2)</f>
        <v>156.502519485454</v>
      </c>
      <c r="I32" s="25" t="n">
        <f aca="false">IF(G32="","",H32-G32)</f>
        <v>-13.5384364026061</v>
      </c>
    </row>
    <row r="33" customFormat="false" ht="15" hidden="false" customHeight="true" outlineLevel="0" collapsed="false">
      <c r="A33" s="35" t="n">
        <v>38</v>
      </c>
      <c r="B33" s="22" t="n">
        <v>29.82</v>
      </c>
      <c r="C33" s="22" t="n">
        <v>29.74</v>
      </c>
      <c r="D33" s="30" t="n">
        <f aca="false">IF(A33=0,0,DEGREES(ATAN(1/(1/TAN(RADIANS(A33))+$B$5/$B$4))))</f>
        <v>28.2471291404643</v>
      </c>
      <c r="E33" s="30" t="n">
        <f aca="false">B33-D33</f>
        <v>1.57287085953567</v>
      </c>
      <c r="F33" s="29" t="n">
        <f aca="false">IF(A33-D33=0,"",(A33-B33)/(A33-D33))</f>
        <v>0.838727398097574</v>
      </c>
      <c r="G33" s="25" t="n">
        <f aca="false">IF(A33=0,"",$B$4/TAN(RADIANS(A33))+$B$5/2)</f>
        <v>160.204046483694</v>
      </c>
      <c r="H33" s="25" t="n">
        <f aca="false">IF(B33=0,"",$B$4/TAN(RADIANS(B33))-$B$5/2)</f>
        <v>148.307969216911</v>
      </c>
      <c r="I33" s="25" t="n">
        <f aca="false">IF(G33="","",H33-G33)</f>
        <v>-11.8960772667827</v>
      </c>
    </row>
    <row r="34" customFormat="false" ht="15" hidden="false" customHeight="true" outlineLevel="0" collapsed="false">
      <c r="A34" s="35" t="n">
        <v>40</v>
      </c>
      <c r="B34" s="22" t="n">
        <v>30.85</v>
      </c>
      <c r="C34" s="22" t="n">
        <v>30.76</v>
      </c>
      <c r="D34" s="30" t="n">
        <f aca="false">IF(A34=0,0,DEGREES(ATAN(1/(1/TAN(RADIANS(A34))+$B$5/$B$4))))</f>
        <v>29.4219405886661</v>
      </c>
      <c r="E34" s="30" t="n">
        <f aca="false">B34-D34</f>
        <v>1.42805941133393</v>
      </c>
      <c r="F34" s="29" t="n">
        <f aca="false">IF(A34-D34=0,"",(A34-B34)/(A34-D34))</f>
        <v>0.864997977813981</v>
      </c>
      <c r="G34" s="25" t="n">
        <f aca="false">IF(A34=0,"",$B$4/TAN(RADIANS(A34))+$B$5/2)</f>
        <v>151.208866444609</v>
      </c>
      <c r="H34" s="25" t="n">
        <f aca="false">IF(B34=0,"",$B$4/TAN(RADIANS(B34))-$B$5/2)</f>
        <v>141.117591833628</v>
      </c>
      <c r="I34" s="25" t="n">
        <f aca="false">IF(G34="","",H34-G34)</f>
        <v>-10.0912746109811</v>
      </c>
    </row>
    <row r="35" customFormat="false" ht="15" hidden="false" customHeight="true" outlineLevel="0" collapsed="false">
      <c r="A35" s="35" t="n">
        <v>42</v>
      </c>
      <c r="B35" s="22" t="n">
        <v>31.81</v>
      </c>
      <c r="C35" s="22" t="n">
        <v>31.71</v>
      </c>
      <c r="D35" s="30" t="n">
        <f aca="false">IF(A35=0,0,DEGREES(ATAN(1/(1/TAN(RADIANS(A35))+$B$5/$B$4))))</f>
        <v>30.5840116329478</v>
      </c>
      <c r="E35" s="30" t="n">
        <f aca="false">B35-D35</f>
        <v>1.22598836705224</v>
      </c>
      <c r="F35" s="29" t="n">
        <f aca="false">IF(A35-D35=0,"",(A35-B35)/(A35-D35))</f>
        <v>0.892607777125057</v>
      </c>
      <c r="G35" s="25" t="n">
        <f aca="false">IF(A35=0,"",$B$4/TAN(RADIANS(A35))+$B$5/2)</f>
        <v>142.932476512578</v>
      </c>
      <c r="H35" s="25" t="n">
        <f aca="false">IF(B35=0,"",$B$4/TAN(RADIANS(B35))-$B$5/2)</f>
        <v>134.795066421265</v>
      </c>
      <c r="I35" s="25" t="n">
        <f aca="false">IF(G35="","",H35-G35)</f>
        <v>-8.13741009131229</v>
      </c>
    </row>
    <row r="36" customFormat="false" ht="15" hidden="false" customHeight="true" outlineLevel="0" collapsed="false">
      <c r="A36" s="35" t="n">
        <v>44</v>
      </c>
      <c r="B36" s="22" t="n">
        <v>32.7</v>
      </c>
      <c r="C36" s="22" t="n">
        <v>32.58</v>
      </c>
      <c r="D36" s="30" t="n">
        <f aca="false">IF(A36=0,0,DEGREES(ATAN(1/(1/TAN(RADIANS(A36))+$B$5/$B$4))))</f>
        <v>31.7353961725452</v>
      </c>
      <c r="E36" s="30" t="n">
        <f aca="false">B36-D36</f>
        <v>0.964603827454774</v>
      </c>
      <c r="F36" s="29" t="n">
        <f aca="false">IF(A36-D36=0,"",(A36-B36)/(A36-D36))</f>
        <v>0.921350592238824</v>
      </c>
      <c r="G36" s="25" t="n">
        <f aca="false">IF(A36=0,"",$B$4/TAN(RADIANS(A36))+$B$5/2)</f>
        <v>135.274092006638</v>
      </c>
      <c r="H36" s="25" t="n">
        <f aca="false">IF(B36=0,"",$B$4/TAN(RADIANS(B36))-$B$5/2)</f>
        <v>129.231328373511</v>
      </c>
      <c r="I36" s="25" t="n">
        <f aca="false">IF(G36="","",H36-G36)</f>
        <v>-6.04276363312692</v>
      </c>
    </row>
    <row r="37" customFormat="false" ht="15" hidden="false" customHeight="true" outlineLevel="0" collapsed="false">
      <c r="A37" s="35" t="n">
        <v>46</v>
      </c>
      <c r="B37" s="22" t="n">
        <v>33.51</v>
      </c>
      <c r="C37" s="22" t="n">
        <v>33.38</v>
      </c>
      <c r="D37" s="30" t="n">
        <f aca="false">IF(A37=0,0,DEGREES(ATAN(1/(1/TAN(RADIANS(A37))+$B$5/$B$4))))</f>
        <v>32.8780934167435</v>
      </c>
      <c r="E37" s="30" t="n">
        <f aca="false">B37-D37</f>
        <v>0.63190658325648</v>
      </c>
      <c r="F37" s="29" t="n">
        <f aca="false">IF(A37-D37=0,"",(A37-B37)/(A37-D37))</f>
        <v>0.95184338653479</v>
      </c>
      <c r="G37" s="25" t="n">
        <f aca="false">IF(A37=0,"",$B$4/TAN(RADIANS(A37))+$B$5/2)</f>
        <v>128.150255030322</v>
      </c>
      <c r="H37" s="25" t="n">
        <f aca="false">IF(B37=0,"",$B$4/TAN(RADIANS(B37))-$B$5/2)</f>
        <v>124.396766722998</v>
      </c>
      <c r="I37" s="25" t="n">
        <f aca="false">IF(G37="","",H37-G37)</f>
        <v>-3.75348830732383</v>
      </c>
    </row>
    <row r="38" customFormat="false" ht="15" hidden="false" customHeight="true" outlineLevel="0" collapsed="false">
      <c r="A38" s="35" t="n">
        <v>48</v>
      </c>
      <c r="B38" s="22" t="n">
        <v>34.24</v>
      </c>
      <c r="C38" s="22" t="n">
        <v>34.09</v>
      </c>
      <c r="D38" s="30" t="n">
        <f aca="false">IF(A38=0,0,DEGREES(ATAN(1/(1/TAN(RADIANS(A38))+$B$5/$B$4))))</f>
        <v>34.0140581356236</v>
      </c>
      <c r="E38" s="30" t="n">
        <f aca="false">B38-D38</f>
        <v>0.225941864376452</v>
      </c>
      <c r="F38" s="29" t="n">
        <f aca="false">IF(A38-D38=0,"",(A38-B38)/(A38-D38))</f>
        <v>0.983845073391021</v>
      </c>
      <c r="G38" s="25" t="n">
        <f aca="false">IF(A38=0,"",$B$4/TAN(RADIANS(A38))+$B$5/2)</f>
        <v>121.49121251838</v>
      </c>
      <c r="H38" s="25" t="n">
        <f aca="false">IF(B38=0,"",$B$4/TAN(RADIANS(B38))-$B$5/2)</f>
        <v>120.21328274871</v>
      </c>
      <c r="I38" s="25" t="n">
        <f aca="false">IF(G38="","",H38-G38)</f>
        <v>-1.27792976967004</v>
      </c>
    </row>
    <row r="39" customFormat="false" ht="15" hidden="false" customHeight="true" outlineLevel="0" collapsed="false">
      <c r="A39" s="35" t="n">
        <v>50</v>
      </c>
      <c r="B39" s="22" t="n">
        <v>34.88</v>
      </c>
      <c r="C39" s="22" t="n">
        <v>34.71</v>
      </c>
      <c r="D39" s="30" t="n">
        <f aca="false">IF(A39=0,0,DEGREES(ATAN(1/(1/TAN(RADIANS(A39))+$B$5/$B$4))))</f>
        <v>35.1452106781875</v>
      </c>
      <c r="E39" s="30" t="n">
        <f aca="false">B39-D39</f>
        <v>-0.265210678187486</v>
      </c>
      <c r="F39" s="29" t="n">
        <f aca="false">IF(A39-D39=0,"",(A39-B39)/(A39-D39))</f>
        <v>1.01785354692295</v>
      </c>
      <c r="G39" s="25" t="n">
        <f aca="false">IF(A39=0,"",$B$4/TAN(RADIANS(A39))+$B$5/2)</f>
        <v>115.238162380083</v>
      </c>
      <c r="H39" s="25" t="n">
        <f aca="false">IF(B39=0,"",$B$4/TAN(RADIANS(B39))-$B$5/2)</f>
        <v>116.672391752265</v>
      </c>
      <c r="I39" s="25" t="n">
        <f aca="false">IF(G39="","",H39-G39)</f>
        <v>1.43422937218222</v>
      </c>
    </row>
    <row r="40" customFormat="false" ht="15" hidden="false" customHeight="true" outlineLevel="0" collapsed="false">
      <c r="A40" s="35" t="n">
        <v>52</v>
      </c>
      <c r="B40" s="22" t="n">
        <v>35.44</v>
      </c>
      <c r="C40" s="22" t="n">
        <v>35.24</v>
      </c>
      <c r="D40" s="30" t="n">
        <f aca="false">IF(A40=0,0,DEGREES(ATAN(1/(1/TAN(RADIANS(A40))+$B$5/$B$4))))</f>
        <v>36.2734468031733</v>
      </c>
      <c r="E40" s="30" t="n">
        <f aca="false">B40-D40</f>
        <v>-0.833446803173331</v>
      </c>
      <c r="F40" s="29" t="n">
        <f aca="false">IF(A40-D40=0,"",(A40-B40)/(A40-D40))</f>
        <v>1.05299615196937</v>
      </c>
      <c r="G40" s="25" t="n">
        <f aca="false">IF(A40=0,"",$B$4/TAN(RADIANS(A40))+$B$5/2)</f>
        <v>109.341133903685</v>
      </c>
      <c r="H40" s="25" t="n">
        <f aca="false">IF(B40=0,"",$B$4/TAN(RADIANS(B40))-$B$5/2)</f>
        <v>113.665944852102</v>
      </c>
      <c r="I40" s="25" t="n">
        <f aca="false">IF(G40="","",H40-G40)</f>
        <v>4.32481094841728</v>
      </c>
    </row>
    <row r="41" customFormat="false" ht="15" hidden="false" customHeight="true" outlineLevel="0" collapsed="false">
      <c r="A41" s="35" t="n">
        <v>54</v>
      </c>
      <c r="B41" s="22" t="n">
        <v>35.9</v>
      </c>
      <c r="C41" s="22" t="n">
        <v>35.68</v>
      </c>
      <c r="D41" s="30" t="n">
        <f aca="false">IF(A41=0,0,DEGREES(ATAN(1/(1/TAN(RADIANS(A41))+$B$5/$B$4))))</f>
        <v>37.4006473723638</v>
      </c>
      <c r="E41" s="30" t="n">
        <f aca="false">B41-D41</f>
        <v>-1.50064737236375</v>
      </c>
      <c r="F41" s="29" t="n">
        <f aca="false">IF(A41-D41=0,"",(A41-B41)/(A41-D41))</f>
        <v>1.09040396972261</v>
      </c>
      <c r="G41" s="25" t="n">
        <f aca="false">IF(A41=0,"",$B$4/TAN(RADIANS(A41))+$B$5/2)</f>
        <v>103.757337856547</v>
      </c>
      <c r="H41" s="25" t="n">
        <f aca="false">IF(B41=0,"",$B$4/TAN(RADIANS(B41))-$B$5/2)</f>
        <v>111.257473512945</v>
      </c>
      <c r="I41" s="25" t="n">
        <f aca="false">IF(G41="","",H41-G41)</f>
        <v>7.5001356563979</v>
      </c>
    </row>
    <row r="42" customFormat="false" ht="15" hidden="false" customHeight="true" outlineLevel="0" collapsed="false">
      <c r="A42" s="35" t="n">
        <v>56</v>
      </c>
      <c r="B42" s="22" t="n">
        <v>36.26</v>
      </c>
      <c r="C42" s="22" t="n">
        <v>36.01</v>
      </c>
      <c r="D42" s="30" t="n">
        <f aca="false">IF(A42=0,0,DEGREES(ATAN(1/(1/TAN(RADIANS(A42))+$B$5/$B$4))))</f>
        <v>38.5286879591308</v>
      </c>
      <c r="E42" s="30" t="n">
        <f aca="false">B42-D42</f>
        <v>-2.26868795913081</v>
      </c>
      <c r="F42" s="29" t="n">
        <f aca="false">IF(A42-D42=0,"",(A42-B42)/(A42-D42))</f>
        <v>1.12985218018108</v>
      </c>
      <c r="G42" s="25" t="n">
        <f aca="false">IF(A42=0,"",$B$4/TAN(RADIANS(A42))+$B$5/2)</f>
        <v>98.4498687179275</v>
      </c>
      <c r="H42" s="25" t="n">
        <f aca="false">IF(B42=0,"",$B$4/TAN(RADIANS(B42))-$B$5/2)</f>
        <v>109.409544128005</v>
      </c>
      <c r="I42" s="25" t="n">
        <f aca="false">IF(G42="","",H42-G42)</f>
        <v>10.9596754100773</v>
      </c>
    </row>
    <row r="43" customFormat="false" ht="15" hidden="false" customHeight="true" outlineLevel="0" collapsed="false">
      <c r="A43" s="35" t="n">
        <v>58</v>
      </c>
      <c r="B43" s="22" t="n">
        <v>36.53</v>
      </c>
      <c r="C43" s="22" t="n">
        <v>36.25</v>
      </c>
      <c r="D43" s="30" t="n">
        <f aca="false">IF(A43=0,0,DEGREES(ATAN(1/(1/TAN(RADIANS(A43))+$B$5/$B$4))))</f>
        <v>39.6594484266279</v>
      </c>
      <c r="E43" s="30" t="n">
        <f aca="false">B43-D43</f>
        <v>-3.12944842662787</v>
      </c>
      <c r="F43" s="29" t="n">
        <f aca="false">IF(A43-D43=0,"",(A43-B43)/(A43-D43))</f>
        <v>1.17063000608833</v>
      </c>
      <c r="G43" s="25" t="n">
        <f aca="false">IF(A43=0,"",$B$4/TAN(RADIANS(A43))+$B$5/2)</f>
        <v>93.3866738947514</v>
      </c>
      <c r="H43" s="25" t="n">
        <f aca="false">IF(B43=0,"",$B$4/TAN(RADIANS(B43))-$B$5/2)</f>
        <v>108.044248699687</v>
      </c>
      <c r="I43" s="25" t="n">
        <f aca="false">IF(G43="","",H43-G43)</f>
        <v>14.657574804936</v>
      </c>
    </row>
    <row r="45" customFormat="false" ht="15" hidden="false" customHeight="true" outlineLevel="0" collapsed="false">
      <c r="A45" s="17" t="s">
        <v>520</v>
      </c>
    </row>
    <row r="46" customFormat="false" ht="15" hidden="false" customHeight="true" outlineLevel="0" collapsed="false">
      <c r="A46" s="18" t="s">
        <v>521</v>
      </c>
      <c r="B46" s="25" t="n">
        <f aca="false">G43</f>
        <v>93.3866738947514</v>
      </c>
    </row>
    <row r="47" customFormat="false" ht="15" hidden="false" customHeight="true" outlineLevel="0" collapsed="false">
      <c r="A47" s="18" t="s">
        <v>522</v>
      </c>
      <c r="B47" s="25" t="n">
        <f aca="false">SQRT((B46+Mass_CoG!B9/2)^2+B4^2)</f>
        <v>174.420408467013</v>
      </c>
    </row>
    <row r="48" customFormat="false" ht="15" hidden="false" customHeight="true" outlineLevel="0" collapsed="false">
      <c r="A48" s="18" t="s">
        <v>523</v>
      </c>
      <c r="B48" s="25" t="n">
        <f aca="false">2*(B47+7.5)</f>
        <v>363.840816934026</v>
      </c>
    </row>
    <row r="49" customFormat="false" ht="15" hidden="false" customHeight="true" outlineLevel="0" collapsed="false">
      <c r="A49" s="20" t="s">
        <v>524</v>
      </c>
    </row>
  </sheetData>
  <mergeCells count="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10"/>
    <col collapsed="false" customWidth="true" hidden="false" outlineLevel="0" max="5" min="4" style="1" width="13"/>
    <col collapsed="false" customWidth="true" hidden="false" outlineLevel="0" max="6" min="6" style="1" width="11"/>
    <col collapsed="false" customWidth="true" hidden="false" outlineLevel="0" max="7" min="7" style="1" width="14"/>
    <col collapsed="false" customWidth="true" hidden="false" outlineLevel="0" max="8" min="8" style="1" width="11"/>
    <col collapsed="false" customWidth="true" hidden="false" outlineLevel="0" max="9" min="9" style="1" width="12"/>
    <col collapsed="false" customWidth="true" hidden="false" outlineLevel="0" max="10" min="10" style="1" width="16"/>
    <col collapsed="false" customWidth="true" hidden="false" outlineLevel="0" max="11" min="11" style="1" width="15"/>
    <col collapsed="false" customWidth="true" hidden="false" outlineLevel="0" max="12" min="12" style="1" width="11"/>
  </cols>
  <sheetData>
    <row r="1" customFormat="false" ht="17.25" hidden="false" customHeight="true" outlineLevel="0" collapsed="false">
      <c r="A1" s="2" t="s">
        <v>525</v>
      </c>
    </row>
    <row r="2" customFormat="false" ht="15" hidden="false" customHeight="true" outlineLevel="0" collapsed="false">
      <c r="A2" s="3" t="s">
        <v>526</v>
      </c>
    </row>
    <row r="4" customFormat="false" ht="15" hidden="false" customHeight="true" outlineLevel="0" collapsed="false">
      <c r="A4" s="18" t="s">
        <v>458</v>
      </c>
      <c r="B4" s="24" t="n">
        <f aca="false">Mass_CoG!B8</f>
        <v>102</v>
      </c>
    </row>
    <row r="6" customFormat="false" ht="34.5" hidden="false" customHeight="true" outlineLevel="0" collapsed="false">
      <c r="A6" s="11" t="s">
        <v>527</v>
      </c>
      <c r="B6" s="11" t="s">
        <v>528</v>
      </c>
      <c r="C6" s="11" t="s">
        <v>529</v>
      </c>
      <c r="D6" s="11" t="s">
        <v>530</v>
      </c>
      <c r="E6" s="11" t="s">
        <v>531</v>
      </c>
      <c r="F6" s="11" t="s">
        <v>532</v>
      </c>
      <c r="G6" s="11" t="s">
        <v>533</v>
      </c>
      <c r="H6" s="11" t="s">
        <v>534</v>
      </c>
      <c r="I6" s="11" t="s">
        <v>535</v>
      </c>
      <c r="J6" s="11" t="s">
        <v>536</v>
      </c>
      <c r="K6" s="11" t="s">
        <v>537</v>
      </c>
      <c r="L6" s="11" t="s">
        <v>538</v>
      </c>
    </row>
    <row r="7" customFormat="false" ht="15" hidden="false" customHeight="true" outlineLevel="0" collapsed="false">
      <c r="A7" s="21" t="n">
        <v>50</v>
      </c>
      <c r="B7" s="21" t="s">
        <v>539</v>
      </c>
      <c r="C7" s="21" t="n">
        <v>0.2</v>
      </c>
      <c r="D7" s="21" t="n">
        <v>0.21</v>
      </c>
      <c r="E7" s="21" t="n">
        <v>0.62</v>
      </c>
    </row>
    <row r="8" customFormat="false" ht="15" hidden="false" customHeight="true" outlineLevel="0" collapsed="false">
      <c r="A8" s="14" t="n">
        <v>100</v>
      </c>
      <c r="B8" s="14" t="s">
        <v>539</v>
      </c>
      <c r="C8" s="34" t="n">
        <v>0.2</v>
      </c>
      <c r="D8" s="33" t="n">
        <v>0.199</v>
      </c>
      <c r="E8" s="33" t="n">
        <v>0.813</v>
      </c>
      <c r="F8" s="25" t="n">
        <f aca="false">IF(OR(D8="",E8="",E8=0),"",1000*D8/ABS(E8))</f>
        <v>244.772447724477</v>
      </c>
      <c r="G8" s="36" t="n">
        <v>488</v>
      </c>
      <c r="H8" s="25" t="n">
        <f aca="false">IF(G8="","",G8/2)</f>
        <v>244</v>
      </c>
      <c r="I8" s="24" t="n">
        <f aca="false">IF(F8="","",DEGREES(ATAN($B$4/F8)))</f>
        <v>22.6221546285555</v>
      </c>
      <c r="J8" s="24" t="n">
        <f aca="false">IF(A8="","",IFERROR(ABS(INDEX(Steering_Target_Actual!$J$11:$J$19,MATCH(A8,Steering_Target_Actual!$B$11:$B$19,0))),""))</f>
        <v>43.9067346050426</v>
      </c>
      <c r="K8" s="24" t="n">
        <f aca="false">IF(OR(I8="",J8=""),"",J8-I8)</f>
        <v>21.284579976487</v>
      </c>
      <c r="L8" s="30" t="n">
        <f aca="false">IF(OR(F8="",D8=""),"",D8^2/(F8/1000))</f>
        <v>0.161787</v>
      </c>
    </row>
    <row r="9" customFormat="false" ht="15" hidden="false" customHeight="true" outlineLevel="0" collapsed="false">
      <c r="A9" s="14" t="n">
        <v>75</v>
      </c>
      <c r="B9" s="14" t="s">
        <v>539</v>
      </c>
      <c r="C9" s="34" t="n">
        <v>0.2</v>
      </c>
      <c r="D9" s="33" t="n">
        <v>0.199</v>
      </c>
      <c r="E9" s="33" t="n">
        <v>0.52</v>
      </c>
      <c r="F9" s="25" t="n">
        <f aca="false">IF(OR(D9="",E9="",E9=0),"",1000*D9/ABS(E9))</f>
        <v>382.692307692308</v>
      </c>
      <c r="G9" s="36"/>
      <c r="H9" s="25" t="str">
        <f aca="false">IF(G9="","",G9/2)</f>
        <v/>
      </c>
      <c r="I9" s="24" t="n">
        <f aca="false">IF(F9="","",DEGREES(ATAN($B$4/F9)))</f>
        <v>14.9242488438391</v>
      </c>
      <c r="J9" s="24" t="n">
        <f aca="false">IF(A9="","",IFERROR(ABS(INDEX(Steering_Target_Actual!$J$11:$J$19,MATCH(A9,Steering_Target_Actual!$B$11:$B$19,0))),""))</f>
        <v>30.9575078375836</v>
      </c>
      <c r="K9" s="24" t="n">
        <f aca="false">IF(OR(I9="",J9=""),"",J9-I9)</f>
        <v>16.0332589937445</v>
      </c>
      <c r="L9" s="30" t="n">
        <f aca="false">IF(OR(F9="",D9=""),"",D9^2/(F9/1000))</f>
        <v>0.10348</v>
      </c>
    </row>
    <row r="10" customFormat="false" ht="15" hidden="false" customHeight="true" outlineLevel="0" collapsed="false">
      <c r="A10" s="14" t="n">
        <v>50</v>
      </c>
      <c r="B10" s="14" t="s">
        <v>539</v>
      </c>
      <c r="C10" s="34" t="n">
        <v>0.2</v>
      </c>
      <c r="D10" s="33" t="n">
        <v>0.199</v>
      </c>
      <c r="E10" s="33" t="n">
        <v>0.311</v>
      </c>
      <c r="F10" s="25" t="n">
        <f aca="false">IF(OR(D10="",E10="",E10=0),"",1000*D10/ABS(E10))</f>
        <v>639.871382636656</v>
      </c>
      <c r="G10" s="36" t="n">
        <v>1281</v>
      </c>
      <c r="H10" s="25" t="n">
        <f aca="false">IF(G10="","",G10/2)</f>
        <v>640.5</v>
      </c>
      <c r="I10" s="24" t="n">
        <f aca="false">IF(F10="","",DEGREES(ATAN($B$4/F10)))</f>
        <v>9.05714751250782</v>
      </c>
      <c r="J10" s="24" t="n">
        <f aca="false">IF(A10="","",IFERROR(ABS(INDEX(Steering_Target_Actual!$J$11:$J$19,MATCH(A10,Steering_Target_Actual!$B$11:$B$19,0))),""))</f>
        <v>18.5929746775438</v>
      </c>
      <c r="K10" s="24" t="n">
        <f aca="false">IF(OR(I10="",J10=""),"",J10-I10)</f>
        <v>9.53582716503601</v>
      </c>
      <c r="L10" s="30" t="n">
        <f aca="false">IF(OR(F10="",D10=""),"",D10^2/(F10/1000))</f>
        <v>0.061889</v>
      </c>
    </row>
    <row r="11" customFormat="false" ht="15" hidden="false" customHeight="true" outlineLevel="0" collapsed="false">
      <c r="A11" s="14" t="n">
        <v>25</v>
      </c>
      <c r="B11" s="14" t="s">
        <v>539</v>
      </c>
      <c r="C11" s="34" t="n">
        <v>0.2</v>
      </c>
      <c r="D11" s="33" t="n">
        <v>0.199</v>
      </c>
      <c r="E11" s="33" t="n">
        <v>0.147</v>
      </c>
      <c r="F11" s="25" t="n">
        <f aca="false">IF(OR(D11="",E11="",E11=0),"",1000*D11/ABS(E11))</f>
        <v>1353.74149659864</v>
      </c>
      <c r="G11" s="36"/>
      <c r="H11" s="25" t="str">
        <f aca="false">IF(G11="","",G11/2)</f>
        <v/>
      </c>
      <c r="I11" s="24" t="n">
        <f aca="false">IF(F11="","",DEGREES(ATAN($B$4/F11)))</f>
        <v>4.30890806970286</v>
      </c>
      <c r="J11" s="24" t="n">
        <f aca="false">IF(A11="","",IFERROR(ABS(INDEX(Steering_Target_Actual!$J$11:$J$19,MATCH(A11,Steering_Target_Actual!$B$11:$B$19,0))),""))</f>
        <v>8.67149673626152</v>
      </c>
      <c r="K11" s="24" t="n">
        <f aca="false">IF(OR(I11="",J11=""),"",J11-I11)</f>
        <v>4.36258866655866</v>
      </c>
      <c r="L11" s="30" t="n">
        <f aca="false">IF(OR(F11="",D11=""),"",D11^2/(F11/1000))</f>
        <v>0.029253</v>
      </c>
    </row>
    <row r="12" customFormat="false" ht="15" hidden="false" customHeight="true" outlineLevel="0" collapsed="false">
      <c r="A12" s="14" t="n">
        <v>-25</v>
      </c>
      <c r="B12" s="14" t="s">
        <v>540</v>
      </c>
      <c r="C12" s="34" t="n">
        <v>0.2</v>
      </c>
      <c r="D12" s="33" t="n">
        <v>0.198</v>
      </c>
      <c r="E12" s="33" t="n">
        <v>0.22</v>
      </c>
      <c r="F12" s="25" t="n">
        <f aca="false">IF(OR(D12="",E12="",E12=0),"",1000*D12/ABS(E12))</f>
        <v>900</v>
      </c>
      <c r="G12" s="36"/>
      <c r="H12" s="25" t="str">
        <f aca="false">IF(G12="","",G12/2)</f>
        <v/>
      </c>
      <c r="I12" s="24" t="n">
        <f aca="false">IF(F12="","",DEGREES(ATAN($B$4/F12)))</f>
        <v>6.46593209893953</v>
      </c>
      <c r="J12" s="24" t="n">
        <f aca="false">IF(A12="","",IFERROR(ABS(INDEX(Steering_Target_Actual!$J$11:$J$19,MATCH(A12,Steering_Target_Actual!$B$11:$B$19,0))),""))</f>
        <v>11.8132768176948</v>
      </c>
      <c r="K12" s="24" t="n">
        <f aca="false">IF(OR(I12="",J12=""),"",J12-I12)</f>
        <v>5.34734471875525</v>
      </c>
      <c r="L12" s="30" t="n">
        <f aca="false">IF(OR(F12="",D12=""),"",D12^2/(F12/1000))</f>
        <v>0.04356</v>
      </c>
    </row>
    <row r="13" customFormat="false" ht="15" hidden="false" customHeight="true" outlineLevel="0" collapsed="false">
      <c r="A13" s="14" t="n">
        <v>-50</v>
      </c>
      <c r="B13" s="14" t="s">
        <v>540</v>
      </c>
      <c r="C13" s="34" t="n">
        <v>0.2</v>
      </c>
      <c r="D13" s="33" t="n">
        <v>0.199</v>
      </c>
      <c r="E13" s="33" t="n">
        <v>0.456</v>
      </c>
      <c r="F13" s="25" t="n">
        <f aca="false">IF(OR(D13="",E13="",E13=0),"",1000*D13/ABS(E13))</f>
        <v>436.40350877193</v>
      </c>
      <c r="G13" s="36" t="n">
        <v>864</v>
      </c>
      <c r="H13" s="25" t="n">
        <f aca="false">IF(G13="","",G13/2)</f>
        <v>432</v>
      </c>
      <c r="I13" s="24" t="n">
        <f aca="false">IF(F13="","",DEGREES(ATAN($B$4/F13)))</f>
        <v>13.155500541508</v>
      </c>
      <c r="J13" s="24" t="n">
        <f aca="false">IF(A13="","",IFERROR(ABS(INDEX(Steering_Target_Actual!$J$11:$J$19,MATCH(A13,Steering_Target_Actual!$B$11:$B$19,0))),""))</f>
        <v>24.8929299257228</v>
      </c>
      <c r="K13" s="24" t="n">
        <f aca="false">IF(OR(I13="",J13=""),"",J13-I13)</f>
        <v>11.7374293842148</v>
      </c>
      <c r="L13" s="30" t="n">
        <f aca="false">IF(OR(F13="",D13=""),"",D13^2/(F13/1000))</f>
        <v>0.090744</v>
      </c>
    </row>
    <row r="14" customFormat="false" ht="15" hidden="false" customHeight="true" outlineLevel="0" collapsed="false">
      <c r="A14" s="14" t="n">
        <v>-75</v>
      </c>
      <c r="B14" s="14" t="s">
        <v>540</v>
      </c>
      <c r="C14" s="34" t="n">
        <v>0.2</v>
      </c>
      <c r="D14" s="33" t="n">
        <v>0.199</v>
      </c>
      <c r="E14" s="33" t="n">
        <v>0.717</v>
      </c>
      <c r="F14" s="25" t="n">
        <f aca="false">IF(OR(D14="",E14="",E14=0),"",1000*D14/ABS(E14))</f>
        <v>277.545327754533</v>
      </c>
      <c r="G14" s="36"/>
      <c r="H14" s="25" t="str">
        <f aca="false">IF(G14="","",G14/2)</f>
        <v/>
      </c>
      <c r="I14" s="24" t="n">
        <f aca="false">IF(F14="","",DEGREES(ATAN($B$4/F14)))</f>
        <v>20.1787605637409</v>
      </c>
      <c r="J14" s="24" t="n">
        <f aca="false">IF(A14="","",IFERROR(ABS(INDEX(Steering_Target_Actual!$J$11:$J$19,MATCH(A14,Steering_Target_Actual!$B$11:$B$19,0))),""))</f>
        <v>37.4617899392916</v>
      </c>
      <c r="K14" s="24" t="n">
        <f aca="false">IF(OR(I14="",J14=""),"",J14-I14)</f>
        <v>17.2830293755507</v>
      </c>
      <c r="L14" s="30" t="n">
        <f aca="false">IF(OR(F14="",D14=""),"",D14^2/(F14/1000))</f>
        <v>0.142683</v>
      </c>
    </row>
    <row r="15" customFormat="false" ht="15" hidden="false" customHeight="true" outlineLevel="0" collapsed="false">
      <c r="A15" s="14" t="n">
        <v>-100</v>
      </c>
      <c r="B15" s="14" t="s">
        <v>540</v>
      </c>
      <c r="C15" s="34" t="n">
        <v>0.2</v>
      </c>
      <c r="D15" s="33" t="n">
        <v>0.2</v>
      </c>
      <c r="E15" s="33" t="n">
        <v>0.934</v>
      </c>
      <c r="F15" s="25" t="n">
        <f aca="false">IF(OR(D15="",E15="",E15=0),"",1000*D15/ABS(E15))</f>
        <v>214.132762312634</v>
      </c>
      <c r="G15" s="36" t="n">
        <v>436</v>
      </c>
      <c r="H15" s="25" t="n">
        <f aca="false">IF(G15="","",G15/2)</f>
        <v>218</v>
      </c>
      <c r="I15" s="24" t="n">
        <f aca="false">IF(F15="","",DEGREES(ATAN($B$4/F15)))</f>
        <v>25.4703281753885</v>
      </c>
      <c r="J15" s="24" t="n">
        <f aca="false">IF(A15="","",IFERROR(ABS(INDEX(Steering_Target_Actual!$J$11:$J$19,MATCH(A15,Steering_Target_Actual!$B$11:$B$19,0))),""))</f>
        <v>45.0235640645852</v>
      </c>
      <c r="K15" s="24" t="n">
        <f aca="false">IF(OR(I15="",J15=""),"",J15-I15)</f>
        <v>19.5532358891967</v>
      </c>
      <c r="L15" s="30" t="n">
        <f aca="false">IF(OR(F15="",D15=""),"",D15^2/(F15/1000))</f>
        <v>0.1868</v>
      </c>
    </row>
    <row r="16" customFormat="false" ht="15" hidden="false" customHeight="true" outlineLevel="0" collapsed="false">
      <c r="A16" s="14" t="n">
        <v>100</v>
      </c>
      <c r="B16" s="14" t="s">
        <v>539</v>
      </c>
      <c r="C16" s="34" t="n">
        <v>0.35</v>
      </c>
      <c r="D16" s="33" t="n">
        <v>0.351</v>
      </c>
      <c r="E16" s="33" t="n">
        <v>1.393</v>
      </c>
      <c r="F16" s="25" t="n">
        <f aca="false">IF(OR(D16="",E16="",E16=0),"",1000*D16/ABS(E16))</f>
        <v>251.97415649677</v>
      </c>
      <c r="G16" s="36"/>
      <c r="H16" s="25" t="str">
        <f aca="false">IF(G16="","",G16/2)</f>
        <v/>
      </c>
      <c r="I16" s="24" t="n">
        <f aca="false">IF(F16="","",DEGREES(ATAN($B$4/F16)))</f>
        <v>22.0382706583275</v>
      </c>
      <c r="J16" s="24" t="n">
        <f aca="false">IF(A16="","",IFERROR(ABS(INDEX(Steering_Target_Actual!$J$11:$J$19,MATCH(A16,Steering_Target_Actual!$B$11:$B$19,0))),""))</f>
        <v>43.9067346050426</v>
      </c>
      <c r="K16" s="24" t="n">
        <f aca="false">IF(OR(I16="",J16=""),"",J16-I16)</f>
        <v>21.8684639467151</v>
      </c>
      <c r="L16" s="30" t="n">
        <f aca="false">IF(OR(F16="",D16=""),"",D16^2/(F16/1000))</f>
        <v>0.488943</v>
      </c>
    </row>
    <row r="17" customFormat="false" ht="15" hidden="false" customHeight="true" outlineLevel="0" collapsed="false">
      <c r="A17" s="14" t="n">
        <v>50</v>
      </c>
      <c r="B17" s="14" t="s">
        <v>539</v>
      </c>
      <c r="C17" s="34" t="n">
        <v>0.35</v>
      </c>
      <c r="D17" s="33" t="n">
        <v>0.351</v>
      </c>
      <c r="E17" s="33" t="n">
        <v>0.536</v>
      </c>
      <c r="F17" s="25" t="n">
        <f aca="false">IF(OR(D17="",E17="",E17=0),"",1000*D17/ABS(E17))</f>
        <v>654.850746268657</v>
      </c>
      <c r="G17" s="36"/>
      <c r="H17" s="25" t="str">
        <f aca="false">IF(G17="","",G17/2)</f>
        <v/>
      </c>
      <c r="I17" s="24" t="n">
        <f aca="false">IF(F17="","",DEGREES(ATAN($B$4/F17)))</f>
        <v>8.85328950887045</v>
      </c>
      <c r="J17" s="24" t="n">
        <f aca="false">IF(A17="","",IFERROR(ABS(INDEX(Steering_Target_Actual!$J$11:$J$19,MATCH(A17,Steering_Target_Actual!$B$11:$B$19,0))),""))</f>
        <v>18.5929746775438</v>
      </c>
      <c r="K17" s="24" t="n">
        <f aca="false">IF(OR(I17="",J17=""),"",J17-I17)</f>
        <v>9.73968516867338</v>
      </c>
      <c r="L17" s="30" t="n">
        <f aca="false">IF(OR(F17="",D17=""),"",D17^2/(F17/1000))</f>
        <v>0.188136</v>
      </c>
    </row>
    <row r="18" customFormat="false" ht="15" hidden="false" customHeight="true" outlineLevel="0" collapsed="false">
      <c r="A18" s="14" t="n">
        <v>-50</v>
      </c>
      <c r="B18" s="14" t="s">
        <v>540</v>
      </c>
      <c r="C18" s="34" t="n">
        <v>0.35</v>
      </c>
      <c r="D18" s="33" t="n">
        <v>0.353</v>
      </c>
      <c r="E18" s="33" t="n">
        <v>0.786</v>
      </c>
      <c r="F18" s="25" t="n">
        <f aca="false">IF(OR(D18="",E18="",E18=0),"",1000*D18/ABS(E18))</f>
        <v>449.10941475827</v>
      </c>
      <c r="G18" s="36"/>
      <c r="H18" s="25" t="str">
        <f aca="false">IF(G18="","",G18/2)</f>
        <v/>
      </c>
      <c r="I18" s="24" t="n">
        <f aca="false">IF(F18="","",DEGREES(ATAN($B$4/F18)))</f>
        <v>12.7957350426694</v>
      </c>
      <c r="J18" s="24" t="n">
        <f aca="false">IF(A18="","",IFERROR(ABS(INDEX(Steering_Target_Actual!$J$11:$J$19,MATCH(A18,Steering_Target_Actual!$B$11:$B$19,0))),""))</f>
        <v>24.8929299257228</v>
      </c>
      <c r="K18" s="24" t="n">
        <f aca="false">IF(OR(I18="",J18=""),"",J18-I18)</f>
        <v>12.0971948830534</v>
      </c>
      <c r="L18" s="30" t="n">
        <f aca="false">IF(OR(F18="",D18=""),"",D18^2/(F18/1000))</f>
        <v>0.277458</v>
      </c>
    </row>
    <row r="19" customFormat="false" ht="15" hidden="false" customHeight="true" outlineLevel="0" collapsed="false">
      <c r="A19" s="14" t="n">
        <v>-100</v>
      </c>
      <c r="B19" s="14" t="s">
        <v>540</v>
      </c>
      <c r="C19" s="34" t="n">
        <v>0.35</v>
      </c>
      <c r="D19" s="33" t="n">
        <v>0.349</v>
      </c>
      <c r="E19" s="33" t="n">
        <v>1.548</v>
      </c>
      <c r="F19" s="25" t="n">
        <f aca="false">IF(OR(D19="",E19="",E19=0),"",1000*D19/ABS(E19))</f>
        <v>225.452196382429</v>
      </c>
      <c r="G19" s="36"/>
      <c r="H19" s="25" t="str">
        <f aca="false">IF(G19="","",G19/2)</f>
        <v/>
      </c>
      <c r="I19" s="24" t="n">
        <f aca="false">IF(F19="","",DEGREES(ATAN($B$4/F19)))</f>
        <v>24.3431406153323</v>
      </c>
      <c r="J19" s="24" t="n">
        <f aca="false">IF(A19="","",IFERROR(ABS(INDEX(Steering_Target_Actual!$J$11:$J$19,MATCH(A19,Steering_Target_Actual!$B$11:$B$19,0))),""))</f>
        <v>45.0235640645852</v>
      </c>
      <c r="K19" s="24" t="n">
        <f aca="false">IF(OR(I19="",J19=""),"",J19-I19)</f>
        <v>20.680423449253</v>
      </c>
      <c r="L19" s="30" t="n">
        <f aca="false">IF(OR(F19="",D19=""),"",D19^2/(F19/1000))</f>
        <v>0.540252</v>
      </c>
    </row>
    <row r="20" customFormat="false" ht="15" hidden="false" customHeight="true" outlineLevel="0" collapsed="false">
      <c r="A20" s="14" t="n">
        <v>100</v>
      </c>
      <c r="B20" s="14" t="s">
        <v>539</v>
      </c>
      <c r="C20" s="34" t="n">
        <v>0.5</v>
      </c>
      <c r="D20" s="33" t="n">
        <v>0.496</v>
      </c>
      <c r="E20" s="33" t="n">
        <v>1.88</v>
      </c>
      <c r="F20" s="25" t="n">
        <f aca="false">IF(OR(D20="",E20="",E20=0),"",1000*D20/ABS(E20))</f>
        <v>263.829787234043</v>
      </c>
      <c r="G20" s="36"/>
      <c r="H20" s="25" t="str">
        <f aca="false">IF(G20="","",G20/2)</f>
        <v/>
      </c>
      <c r="I20" s="24" t="n">
        <f aca="false">IF(F20="","",DEGREES(ATAN($B$4/F20)))</f>
        <v>21.1371449964047</v>
      </c>
      <c r="J20" s="24" t="n">
        <f aca="false">IF(A20="","",IFERROR(ABS(INDEX(Steering_Target_Actual!$J$11:$J$19,MATCH(A20,Steering_Target_Actual!$B$11:$B$19,0))),""))</f>
        <v>43.9067346050426</v>
      </c>
      <c r="K20" s="24" t="n">
        <f aca="false">IF(OR(I20="",J20=""),"",J20-I20)</f>
        <v>22.7695896086379</v>
      </c>
      <c r="L20" s="30" t="n">
        <f aca="false">IF(OR(F20="",D20=""),"",D20^2/(F20/1000))</f>
        <v>0.93248</v>
      </c>
    </row>
    <row r="21" customFormat="false" ht="15" hidden="false" customHeight="true" outlineLevel="0" collapsed="false">
      <c r="A21" s="14" t="n">
        <v>50</v>
      </c>
      <c r="B21" s="14" t="s">
        <v>539</v>
      </c>
      <c r="C21" s="34" t="n">
        <v>0.5</v>
      </c>
      <c r="D21" s="33" t="n">
        <v>0.503</v>
      </c>
      <c r="E21" s="33" t="n">
        <v>0.749</v>
      </c>
      <c r="F21" s="25" t="n">
        <f aca="false">IF(OR(D21="",E21="",E21=0),"",1000*D21/ABS(E21))</f>
        <v>671.562082777036</v>
      </c>
      <c r="G21" s="36"/>
      <c r="H21" s="25" t="str">
        <f aca="false">IF(G21="","",G21/2)</f>
        <v/>
      </c>
      <c r="I21" s="24" t="n">
        <f aca="false">IF(F21="","",DEGREES(ATAN($B$4/F21)))</f>
        <v>8.63634499255083</v>
      </c>
      <c r="J21" s="24" t="n">
        <f aca="false">IF(A21="","",IFERROR(ABS(INDEX(Steering_Target_Actual!$J$11:$J$19,MATCH(A21,Steering_Target_Actual!$B$11:$B$19,0))),""))</f>
        <v>18.5929746775438</v>
      </c>
      <c r="K21" s="24" t="n">
        <f aca="false">IF(OR(I21="",J21=""),"",J21-I21)</f>
        <v>9.95662968499299</v>
      </c>
      <c r="L21" s="30" t="n">
        <f aca="false">IF(OR(F21="",D21=""),"",D21^2/(F21/1000))</f>
        <v>0.376747</v>
      </c>
    </row>
    <row r="22" customFormat="false" ht="15" hidden="false" customHeight="true" outlineLevel="0" collapsed="false">
      <c r="A22" s="14" t="n">
        <v>-100</v>
      </c>
      <c r="B22" s="14" t="s">
        <v>540</v>
      </c>
      <c r="C22" s="34" t="n">
        <v>0.5</v>
      </c>
      <c r="D22" s="33" t="n">
        <v>0.5</v>
      </c>
      <c r="E22" s="33" t="n">
        <v>2.185</v>
      </c>
      <c r="F22" s="25" t="n">
        <f aca="false">IF(OR(D22="",E22="",E22=0),"",1000*D22/ABS(E22))</f>
        <v>228.83295194508</v>
      </c>
      <c r="G22" s="36"/>
      <c r="H22" s="25" t="str">
        <f aca="false">IF(G22="","",G22/2)</f>
        <v/>
      </c>
      <c r="I22" s="24" t="n">
        <f aca="false">IF(F22="","",DEGREES(ATAN($B$4/F22)))</f>
        <v>24.0244449244041</v>
      </c>
      <c r="J22" s="24" t="n">
        <f aca="false">IF(A22="","",IFERROR(ABS(INDEX(Steering_Target_Actual!$J$11:$J$19,MATCH(A22,Steering_Target_Actual!$B$11:$B$19,0))),""))</f>
        <v>45.0235640645852</v>
      </c>
      <c r="K22" s="24" t="n">
        <f aca="false">IF(OR(I22="",J22=""),"",J22-I22)</f>
        <v>20.9991191401811</v>
      </c>
      <c r="L22" s="30" t="n">
        <f aca="false">IF(OR(F22="",D22=""),"",D22^2/(F22/1000))</f>
        <v>1.0925</v>
      </c>
    </row>
    <row r="23" customFormat="false" ht="15" hidden="false" customHeight="true" outlineLevel="0" collapsed="false">
      <c r="A23" s="14" t="n">
        <v>100</v>
      </c>
      <c r="B23" s="14" t="s">
        <v>539</v>
      </c>
      <c r="C23" s="34" t="n">
        <v>0.75</v>
      </c>
      <c r="D23" s="33" t="n">
        <v>0.753</v>
      </c>
      <c r="E23" s="33" t="n">
        <v>2.578</v>
      </c>
      <c r="F23" s="25" t="n">
        <f aca="false">IF(OR(D23="",E23="",E23=0),"",1000*D23/ABS(E23))</f>
        <v>292.086889061288</v>
      </c>
      <c r="G23" s="36"/>
      <c r="H23" s="25" t="str">
        <f aca="false">IF(G23="","",G23/2)</f>
        <v/>
      </c>
      <c r="I23" s="24" t="n">
        <f aca="false">IF(F23="","",DEGREES(ATAN($B$4/F23)))</f>
        <v>19.2497713151489</v>
      </c>
      <c r="J23" s="24" t="n">
        <f aca="false">IF(A23="","",IFERROR(ABS(INDEX(Steering_Target_Actual!$J$11:$J$19,MATCH(A23,Steering_Target_Actual!$B$11:$B$19,0))),""))</f>
        <v>43.9067346050426</v>
      </c>
      <c r="K23" s="24" t="n">
        <f aca="false">IF(OR(I23="",J23=""),"",J23-I23)</f>
        <v>24.6569632898936</v>
      </c>
      <c r="L23" s="30" t="n">
        <f aca="false">IF(OR(F23="",D23=""),"",D23^2/(F23/1000))</f>
        <v>1.941234</v>
      </c>
    </row>
    <row r="24" customFormat="false" ht="15" hidden="false" customHeight="true" outlineLevel="0" collapsed="false">
      <c r="A24" s="14" t="n">
        <v>50</v>
      </c>
      <c r="B24" s="14" t="s">
        <v>539</v>
      </c>
      <c r="C24" s="34" t="n">
        <v>0.75</v>
      </c>
      <c r="D24" s="33" t="n">
        <v>0.751</v>
      </c>
      <c r="E24" s="33" t="n">
        <v>1.005</v>
      </c>
      <c r="F24" s="25" t="n">
        <f aca="false">IF(OR(D24="",E24="",E24=0),"",1000*D24/ABS(E24))</f>
        <v>747.26368159204</v>
      </c>
      <c r="G24" s="36"/>
      <c r="H24" s="25" t="str">
        <f aca="false">IF(G24="","",G24/2)</f>
        <v/>
      </c>
      <c r="I24" s="24" t="n">
        <f aca="false">IF(F24="","",DEGREES(ATAN($B$4/F24)))</f>
        <v>7.77272396150403</v>
      </c>
      <c r="J24" s="24" t="n">
        <f aca="false">IF(A24="","",IFERROR(ABS(INDEX(Steering_Target_Actual!$J$11:$J$19,MATCH(A24,Steering_Target_Actual!$B$11:$B$19,0))),""))</f>
        <v>18.5929746775438</v>
      </c>
      <c r="K24" s="24" t="n">
        <f aca="false">IF(OR(I24="",J24=""),"",J24-I24)</f>
        <v>10.8202507160398</v>
      </c>
      <c r="L24" s="30" t="n">
        <f aca="false">IF(OR(F24="",D24=""),"",D24^2/(F24/1000))</f>
        <v>0.754755</v>
      </c>
    </row>
    <row r="25" customFormat="false" ht="15" hidden="false" customHeight="true" outlineLevel="0" collapsed="false">
      <c r="A25" s="14" t="n">
        <v>-100</v>
      </c>
      <c r="B25" s="14" t="s">
        <v>540</v>
      </c>
      <c r="C25" s="34" t="n">
        <v>0.75</v>
      </c>
      <c r="D25" s="33" t="n">
        <v>0.747</v>
      </c>
      <c r="E25" s="33" t="n">
        <v>2.897</v>
      </c>
      <c r="F25" s="25" t="n">
        <f aca="false">IF(OR(D25="",E25="",E25=0),"",1000*D25/ABS(E25))</f>
        <v>257.852951328961</v>
      </c>
      <c r="G25" s="36"/>
      <c r="H25" s="25" t="str">
        <f aca="false">IF(G25="","",G25/2)</f>
        <v/>
      </c>
      <c r="I25" s="24" t="n">
        <f aca="false">IF(F25="","",DEGREES(ATAN($B$4/F25)))</f>
        <v>21.5824780824877</v>
      </c>
      <c r="J25" s="24" t="n">
        <f aca="false">IF(A25="","",IFERROR(ABS(INDEX(Steering_Target_Actual!$J$11:$J$19,MATCH(A25,Steering_Target_Actual!$B$11:$B$19,0))),""))</f>
        <v>45.0235640645852</v>
      </c>
      <c r="K25" s="24" t="n">
        <f aca="false">IF(OR(I25="",J25=""),"",J25-I25)</f>
        <v>23.4410859820975</v>
      </c>
      <c r="L25" s="30" t="n">
        <f aca="false">IF(OR(F25="",D25=""),"",D25^2/(F25/1000))</f>
        <v>2.164059</v>
      </c>
    </row>
    <row r="26" customFormat="false" ht="15" hidden="false" customHeight="true" outlineLevel="0" collapsed="false">
      <c r="A26" s="14" t="n">
        <v>25</v>
      </c>
      <c r="B26" s="14" t="s">
        <v>539</v>
      </c>
      <c r="C26" s="34" t="n">
        <v>0.75</v>
      </c>
      <c r="D26" s="33" t="n">
        <v>0.751</v>
      </c>
      <c r="E26" s="33" t="n">
        <v>0.478</v>
      </c>
      <c r="F26" s="25" t="n">
        <f aca="false">IF(OR(D26="",E26="",E26=0),"",1000*D26/ABS(E26))</f>
        <v>1571.12970711297</v>
      </c>
      <c r="G26" s="36"/>
      <c r="H26" s="25" t="str">
        <f aca="false">IF(G26="","",G26/2)</f>
        <v/>
      </c>
      <c r="I26" s="24" t="n">
        <f aca="false">IF(F26="","",DEGREES(ATAN($B$4/F26)))</f>
        <v>3.71451162191204</v>
      </c>
      <c r="J26" s="24" t="n">
        <f aca="false">IF(A26="","",IFERROR(ABS(INDEX(Steering_Target_Actual!$J$11:$J$19,MATCH(A26,Steering_Target_Actual!$B$11:$B$19,0))),""))</f>
        <v>8.67149673626152</v>
      </c>
      <c r="K26" s="24" t="n">
        <f aca="false">IF(OR(I26="",J26=""),"",J26-I26)</f>
        <v>4.95698511434948</v>
      </c>
      <c r="L26" s="30" t="n">
        <f aca="false">IF(OR(F26="",D26=""),"",D26^2/(F26/1000))</f>
        <v>0.358978</v>
      </c>
    </row>
    <row r="27" customFormat="false" ht="15" hidden="false" customHeight="true" outlineLevel="0" collapsed="false">
      <c r="A27" s="14"/>
      <c r="B27" s="14"/>
      <c r="C27" s="34"/>
      <c r="D27" s="33"/>
      <c r="E27" s="33"/>
      <c r="F27" s="25" t="str">
        <f aca="false">IF(OR(D27="",E27="",E27=0),"",1000*D27/ABS(E27))</f>
        <v/>
      </c>
      <c r="G27" s="36"/>
      <c r="H27" s="25" t="str">
        <f aca="false">IF(G27="","",G27/2)</f>
        <v/>
      </c>
      <c r="I27" s="24" t="str">
        <f aca="false">IF(F27="","",DEGREES(ATAN($B$4/F27)))</f>
        <v/>
      </c>
      <c r="J27" s="24" t="str">
        <f aca="false">IF(A27="","",IFERROR(ABS(INDEX(Steering_Target_Actual!$J$11:$J$19,MATCH(A27,Steering_Target_Actual!$B$11:$B$19,0))),""))</f>
        <v/>
      </c>
      <c r="K27" s="24" t="str">
        <f aca="false">IF(OR(I27="",J27=""),"",J27-I27)</f>
        <v/>
      </c>
      <c r="L27" s="30" t="str">
        <f aca="false">IF(OR(F27="",D27=""),"",D27^2/(F27/1000))</f>
        <v/>
      </c>
    </row>
    <row r="28" customFormat="false" ht="15" hidden="false" customHeight="true" outlineLevel="0" collapsed="false">
      <c r="A28" s="14"/>
      <c r="B28" s="14"/>
      <c r="C28" s="34"/>
      <c r="D28" s="33"/>
      <c r="E28" s="33"/>
      <c r="F28" s="25" t="str">
        <f aca="false">IF(OR(D28="",E28="",E28=0),"",1000*D28/ABS(E28))</f>
        <v/>
      </c>
      <c r="G28" s="36"/>
      <c r="H28" s="25" t="str">
        <f aca="false">IF(G28="","",G28/2)</f>
        <v/>
      </c>
      <c r="I28" s="24" t="str">
        <f aca="false">IF(F28="","",DEGREES(ATAN($B$4/F28)))</f>
        <v/>
      </c>
      <c r="J28" s="24" t="str">
        <f aca="false">IF(A28="","",IFERROR(ABS(INDEX(Steering_Target_Actual!$J$11:$J$19,MATCH(A28,Steering_Target_Actual!$B$11:$B$19,0))),""))</f>
        <v/>
      </c>
      <c r="K28" s="24" t="str">
        <f aca="false">IF(OR(I28="",J28=""),"",J28-I28)</f>
        <v/>
      </c>
      <c r="L28" s="30" t="str">
        <f aca="false">IF(OR(F28="",D28=""),"",D28^2/(F28/1000))</f>
        <v/>
      </c>
    </row>
    <row r="29" customFormat="false" ht="15" hidden="false" customHeight="true" outlineLevel="0" collapsed="false">
      <c r="A29" s="14"/>
      <c r="B29" s="14"/>
      <c r="C29" s="34"/>
      <c r="D29" s="33"/>
      <c r="E29" s="33"/>
      <c r="F29" s="25" t="str">
        <f aca="false">IF(OR(D29="",E29="",E29=0),"",1000*D29/ABS(E29))</f>
        <v/>
      </c>
      <c r="G29" s="36"/>
      <c r="H29" s="25" t="str">
        <f aca="false">IF(G29="","",G29/2)</f>
        <v/>
      </c>
      <c r="I29" s="24" t="str">
        <f aca="false">IF(F29="","",DEGREES(ATAN($B$4/F29)))</f>
        <v/>
      </c>
      <c r="J29" s="24" t="str">
        <f aca="false">IF(A29="","",IFERROR(ABS(INDEX(Steering_Target_Actual!$J$11:$J$19,MATCH(A29,Steering_Target_Actual!$B$11:$B$19,0))),""))</f>
        <v/>
      </c>
      <c r="K29" s="24" t="str">
        <f aca="false">IF(OR(I29="",J29=""),"",J29-I29)</f>
        <v/>
      </c>
      <c r="L29" s="30" t="str">
        <f aca="false">IF(OR(F29="",D29=""),"",D29^2/(F29/1000))</f>
        <v/>
      </c>
    </row>
    <row r="30" customFormat="false" ht="15" hidden="false" customHeight="true" outlineLevel="0" collapsed="false">
      <c r="A30" s="14"/>
      <c r="B30" s="14"/>
      <c r="C30" s="34"/>
      <c r="D30" s="33"/>
      <c r="E30" s="33"/>
      <c r="F30" s="25" t="str">
        <f aca="false">IF(OR(D30="",E30="",E30=0),"",1000*D30/ABS(E30))</f>
        <v/>
      </c>
      <c r="G30" s="36"/>
      <c r="H30" s="25" t="str">
        <f aca="false">IF(G30="","",G30/2)</f>
        <v/>
      </c>
      <c r="I30" s="24" t="str">
        <f aca="false">IF(F30="","",DEGREES(ATAN($B$4/F30)))</f>
        <v/>
      </c>
      <c r="J30" s="24" t="str">
        <f aca="false">IF(A30="","",IFERROR(ABS(INDEX(Steering_Target_Actual!$J$11:$J$19,MATCH(A30,Steering_Target_Actual!$B$11:$B$19,0))),""))</f>
        <v/>
      </c>
      <c r="K30" s="24" t="str">
        <f aca="false">IF(OR(I30="",J30=""),"",J30-I30)</f>
        <v/>
      </c>
      <c r="L30" s="30" t="str">
        <f aca="false">IF(OR(F30="",D30=""),"",D30^2/(F30/1000))</f>
        <v/>
      </c>
    </row>
    <row r="31" customFormat="false" ht="15" hidden="false" customHeight="true" outlineLevel="0" collapsed="false">
      <c r="A31" s="14"/>
      <c r="B31" s="14"/>
      <c r="C31" s="34"/>
      <c r="D31" s="33"/>
      <c r="E31" s="33"/>
      <c r="F31" s="25" t="str">
        <f aca="false">IF(OR(D31="",E31="",E31=0),"",1000*D31/ABS(E31))</f>
        <v/>
      </c>
      <c r="G31" s="36"/>
      <c r="H31" s="25" t="str">
        <f aca="false">IF(G31="","",G31/2)</f>
        <v/>
      </c>
      <c r="I31" s="24" t="str">
        <f aca="false">IF(F31="","",DEGREES(ATAN($B$4/F31)))</f>
        <v/>
      </c>
      <c r="J31" s="24" t="str">
        <f aca="false">IF(A31="","",IFERROR(ABS(INDEX(Steering_Target_Actual!$J$11:$J$19,MATCH(A31,Steering_Target_Actual!$B$11:$B$19,0))),""))</f>
        <v/>
      </c>
      <c r="K31" s="24" t="str">
        <f aca="false">IF(OR(I31="",J31=""),"",J31-I31)</f>
        <v/>
      </c>
      <c r="L31" s="30" t="str">
        <f aca="false">IF(OR(F31="",D31=""),"",D31^2/(F31/1000))</f>
        <v/>
      </c>
    </row>
    <row r="32" customFormat="false" ht="15" hidden="false" customHeight="true" outlineLevel="0" collapsed="false">
      <c r="A32" s="14"/>
      <c r="B32" s="14"/>
      <c r="C32" s="34"/>
      <c r="D32" s="33"/>
      <c r="E32" s="33"/>
      <c r="F32" s="25" t="str">
        <f aca="false">IF(OR(D32="",E32="",E32=0),"",1000*D32/ABS(E32))</f>
        <v/>
      </c>
      <c r="G32" s="36"/>
      <c r="H32" s="25" t="str">
        <f aca="false">IF(G32="","",G32/2)</f>
        <v/>
      </c>
      <c r="I32" s="24" t="str">
        <f aca="false">IF(F32="","",DEGREES(ATAN($B$4/F32)))</f>
        <v/>
      </c>
      <c r="J32" s="24" t="str">
        <f aca="false">IF(A32="","",IFERROR(ABS(INDEX(Steering_Target_Actual!$J$11:$J$19,MATCH(A32,Steering_Target_Actual!$B$11:$B$19,0))),""))</f>
        <v/>
      </c>
      <c r="K32" s="24" t="str">
        <f aca="false">IF(OR(I32="",J32=""),"",J32-I32)</f>
        <v/>
      </c>
      <c r="L32" s="30" t="str">
        <f aca="false">IF(OR(F32="",D32=""),"",D32^2/(F32/1000))</f>
        <v/>
      </c>
    </row>
    <row r="33" customFormat="false" ht="15" hidden="false" customHeight="true" outlineLevel="0" collapsed="false">
      <c r="A33" s="14"/>
      <c r="B33" s="14"/>
      <c r="C33" s="34"/>
      <c r="D33" s="33"/>
      <c r="E33" s="33"/>
      <c r="F33" s="25" t="str">
        <f aca="false">IF(OR(D33="",E33="",E33=0),"",1000*D33/ABS(E33))</f>
        <v/>
      </c>
      <c r="G33" s="36"/>
      <c r="H33" s="25" t="str">
        <f aca="false">IF(G33="","",G33/2)</f>
        <v/>
      </c>
      <c r="I33" s="24" t="str">
        <f aca="false">IF(F33="","",DEGREES(ATAN($B$4/F33)))</f>
        <v/>
      </c>
      <c r="J33" s="24" t="str">
        <f aca="false">IF(A33="","",IFERROR(ABS(INDEX(Steering_Target_Actual!$J$11:$J$19,MATCH(A33,Steering_Target_Actual!$B$11:$B$19,0))),""))</f>
        <v/>
      </c>
      <c r="K33" s="24" t="str">
        <f aca="false">IF(OR(I33="",J33=""),"",J33-I33)</f>
        <v/>
      </c>
      <c r="L33" s="30" t="str">
        <f aca="false">IF(OR(F33="",D33=""),"",D33^2/(F33/1000))</f>
        <v/>
      </c>
    </row>
    <row r="34" customFormat="false" ht="15" hidden="false" customHeight="true" outlineLevel="0" collapsed="false">
      <c r="A34" s="14"/>
      <c r="B34" s="14"/>
      <c r="C34" s="34"/>
      <c r="D34" s="33"/>
      <c r="E34" s="33"/>
      <c r="F34" s="25" t="str">
        <f aca="false">IF(OR(D34="",E34="",E34=0),"",1000*D34/ABS(E34))</f>
        <v/>
      </c>
      <c r="G34" s="36"/>
      <c r="H34" s="25" t="str">
        <f aca="false">IF(G34="","",G34/2)</f>
        <v/>
      </c>
      <c r="I34" s="24" t="str">
        <f aca="false">IF(F34="","",DEGREES(ATAN($B$4/F34)))</f>
        <v/>
      </c>
      <c r="J34" s="24" t="str">
        <f aca="false">IF(A34="","",IFERROR(ABS(INDEX(Steering_Target_Actual!$J$11:$J$19,MATCH(A34,Steering_Target_Actual!$B$11:$B$19,0))),""))</f>
        <v/>
      </c>
      <c r="K34" s="24" t="str">
        <f aca="false">IF(OR(I34="",J34=""),"",J34-I34)</f>
        <v/>
      </c>
      <c r="L34" s="30" t="str">
        <f aca="false">IF(OR(F34="",D34=""),"",D34^2/(F34/1000))</f>
        <v/>
      </c>
    </row>
    <row r="35" customFormat="false" ht="15" hidden="false" customHeight="true" outlineLevel="0" collapsed="false">
      <c r="A35" s="14"/>
      <c r="B35" s="14"/>
      <c r="C35" s="34"/>
      <c r="D35" s="33"/>
      <c r="E35" s="33"/>
      <c r="F35" s="25" t="str">
        <f aca="false">IF(OR(D35="",E35="",E35=0),"",1000*D35/ABS(E35))</f>
        <v/>
      </c>
      <c r="G35" s="36"/>
      <c r="H35" s="25" t="str">
        <f aca="false">IF(G35="","",G35/2)</f>
        <v/>
      </c>
      <c r="I35" s="24" t="str">
        <f aca="false">IF(F35="","",DEGREES(ATAN($B$4/F35)))</f>
        <v/>
      </c>
      <c r="J35" s="24" t="str">
        <f aca="false">IF(A35="","",IFERROR(ABS(INDEX(Steering_Target_Actual!$J$11:$J$19,MATCH(A35,Steering_Target_Actual!$B$11:$B$19,0))),""))</f>
        <v/>
      </c>
      <c r="K35" s="24" t="str">
        <f aca="false">IF(OR(I35="",J35=""),"",J35-I35)</f>
        <v/>
      </c>
      <c r="L35" s="30" t="str">
        <f aca="false">IF(OR(F35="",D35=""),"",D35^2/(F35/1000))</f>
        <v/>
      </c>
    </row>
    <row r="36" customFormat="false" ht="15" hidden="false" customHeight="true" outlineLevel="0" collapsed="false">
      <c r="A36" s="14"/>
      <c r="B36" s="14"/>
      <c r="C36" s="34"/>
      <c r="D36" s="33"/>
      <c r="E36" s="33"/>
      <c r="F36" s="25" t="str">
        <f aca="false">IF(OR(D36="",E36="",E36=0),"",1000*D36/ABS(E36))</f>
        <v/>
      </c>
      <c r="G36" s="36"/>
      <c r="H36" s="25" t="str">
        <f aca="false">IF(G36="","",G36/2)</f>
        <v/>
      </c>
      <c r="I36" s="24" t="str">
        <f aca="false">IF(F36="","",DEGREES(ATAN($B$4/F36)))</f>
        <v/>
      </c>
      <c r="J36" s="24" t="str">
        <f aca="false">IF(A36="","",IFERROR(ABS(INDEX(Steering_Target_Actual!$J$11:$J$19,MATCH(A36,Steering_Target_Actual!$B$11:$B$19,0))),""))</f>
        <v/>
      </c>
      <c r="K36" s="24" t="str">
        <f aca="false">IF(OR(I36="",J36=""),"",J36-I36)</f>
        <v/>
      </c>
      <c r="L36" s="30" t="str">
        <f aca="false">IF(OR(F36="",D36=""),"",D36^2/(F36/1000))</f>
        <v/>
      </c>
    </row>
    <row r="37" customFormat="false" ht="15" hidden="false" customHeight="true" outlineLevel="0" collapsed="false">
      <c r="A37" s="14"/>
      <c r="B37" s="14"/>
      <c r="C37" s="34"/>
      <c r="D37" s="33"/>
      <c r="E37" s="33"/>
      <c r="F37" s="25" t="str">
        <f aca="false">IF(OR(D37="",E37="",E37=0),"",1000*D37/ABS(E37))</f>
        <v/>
      </c>
      <c r="G37" s="36"/>
      <c r="H37" s="25" t="str">
        <f aca="false">IF(G37="","",G37/2)</f>
        <v/>
      </c>
      <c r="I37" s="24" t="str">
        <f aca="false">IF(F37="","",DEGREES(ATAN($B$4/F37)))</f>
        <v/>
      </c>
      <c r="J37" s="24" t="str">
        <f aca="false">IF(A37="","",IFERROR(ABS(INDEX(Steering_Target_Actual!$J$11:$J$19,MATCH(A37,Steering_Target_Actual!$B$11:$B$19,0))),""))</f>
        <v/>
      </c>
      <c r="K37" s="24" t="str">
        <f aca="false">IF(OR(I37="",J37=""),"",J37-I37)</f>
        <v/>
      </c>
      <c r="L37" s="30" t="str">
        <f aca="false">IF(OR(F37="",D37=""),"",D37^2/(F37/1000))</f>
        <v/>
      </c>
    </row>
    <row r="39" customFormat="false" ht="15" hidden="false" customHeight="true" outlineLevel="0" collapsed="false">
      <c r="A39" s="18" t="s">
        <v>541</v>
      </c>
      <c r="I39" s="30" t="n">
        <f aca="false">IFERROR(SLOPE(K8:K37,L8:L37),"")</f>
        <v>6.74540213731128</v>
      </c>
    </row>
    <row r="40" customFormat="false" ht="15" hidden="false" customHeight="true" outlineLevel="0" collapsed="false">
      <c r="A40" s="18" t="s">
        <v>542</v>
      </c>
      <c r="I40" s="25" t="n">
        <f aca="false">IF(COUNT(F8:F37)=0,"",MIN(F8:F37))</f>
        <v>214.132762312634</v>
      </c>
    </row>
    <row r="41" customFormat="false" ht="15" hidden="false" customHeight="true" outlineLevel="0" collapsed="false">
      <c r="A41" s="18" t="s">
        <v>543</v>
      </c>
      <c r="I41" s="25" t="n">
        <f aca="false">Ackermann_CAD!B46</f>
        <v>93.3866738947514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6"/>
    <col collapsed="false" customWidth="true" hidden="false" outlineLevel="0" max="3" min="3" style="1" width="34"/>
    <col collapsed="false" customWidth="true" hidden="false" outlineLevel="0" max="5" min="4" style="1" width="16"/>
  </cols>
  <sheetData>
    <row r="1" customFormat="false" ht="17.25" hidden="false" customHeight="true" outlineLevel="0" collapsed="false">
      <c r="A1" s="2" t="s">
        <v>544</v>
      </c>
    </row>
    <row r="2" customFormat="false" ht="15" hidden="false" customHeight="true" outlineLevel="0" collapsed="false">
      <c r="A2" s="3" t="s">
        <v>545</v>
      </c>
    </row>
    <row r="4" customFormat="false" ht="15" hidden="false" customHeight="true" outlineLevel="0" collapsed="false">
      <c r="A4" s="18" t="s">
        <v>546</v>
      </c>
      <c r="B4" s="34" t="n">
        <v>32</v>
      </c>
      <c r="C4" s="20" t="s">
        <v>547</v>
      </c>
    </row>
    <row r="5" customFormat="false" ht="15" hidden="false" customHeight="true" outlineLevel="0" collapsed="false">
      <c r="A5" s="18" t="s">
        <v>548</v>
      </c>
      <c r="B5" s="34" t="n">
        <v>1</v>
      </c>
      <c r="C5" s="20" t="s">
        <v>549</v>
      </c>
    </row>
    <row r="6" customFormat="false" ht="15" hidden="false" customHeight="true" outlineLevel="0" collapsed="false">
      <c r="A6" s="18" t="s">
        <v>550</v>
      </c>
      <c r="B6" s="34" t="n">
        <v>1000</v>
      </c>
      <c r="C6" s="20" t="s">
        <v>551</v>
      </c>
    </row>
    <row r="7" customFormat="false" ht="15" hidden="false" customHeight="true" outlineLevel="0" collapsed="false">
      <c r="A7" s="18" t="s">
        <v>552</v>
      </c>
      <c r="B7" s="34" t="n">
        <v>12</v>
      </c>
      <c r="C7" s="20"/>
    </row>
    <row r="8" customFormat="false" ht="15" hidden="false" customHeight="true" outlineLevel="0" collapsed="false">
      <c r="A8" s="18" t="s">
        <v>553</v>
      </c>
      <c r="B8" s="34" t="n">
        <v>14.8</v>
      </c>
      <c r="C8" s="20" t="s">
        <v>554</v>
      </c>
    </row>
    <row r="9" customFormat="false" ht="15" hidden="false" customHeight="true" outlineLevel="0" collapsed="false">
      <c r="A9" s="18" t="s">
        <v>555</v>
      </c>
      <c r="B9" s="34" t="n">
        <v>16.8</v>
      </c>
      <c r="C9" s="20" t="s">
        <v>554</v>
      </c>
    </row>
    <row r="10" customFormat="false" ht="15" hidden="false" customHeight="true" outlineLevel="0" collapsed="false">
      <c r="A10" s="18" t="s">
        <v>556</v>
      </c>
      <c r="B10" s="34" t="n">
        <v>100</v>
      </c>
      <c r="C10" s="20" t="s">
        <v>557</v>
      </c>
    </row>
    <row r="11" customFormat="false" ht="15" hidden="false" customHeight="true" outlineLevel="0" collapsed="false">
      <c r="A11" s="18" t="s">
        <v>558</v>
      </c>
      <c r="B11" s="30" t="n">
        <f aca="false">IF(Mass_CoG!B55&lt;&gt;"",Mass_CoG!B55,Mass_CoG!C47)</f>
        <v>575.3</v>
      </c>
      <c r="C11" s="20" t="s">
        <v>559</v>
      </c>
    </row>
    <row r="12" customFormat="false" ht="15" hidden="false" customHeight="true" outlineLevel="0" collapsed="false">
      <c r="A12" s="18" t="s">
        <v>431</v>
      </c>
      <c r="B12" s="30" t="n">
        <f aca="false">IF(Mass_CoG!B63&lt;&gt;"",Mass_CoG!B63,Mass_CoG!C48)</f>
        <v>59.5192073700678</v>
      </c>
      <c r="C12" s="20" t="s">
        <v>560</v>
      </c>
    </row>
    <row r="13" customFormat="false" ht="15" hidden="false" customHeight="true" outlineLevel="0" collapsed="false">
      <c r="A13" s="18" t="s">
        <v>433</v>
      </c>
      <c r="B13" s="30" t="n">
        <f aca="false">IF(Mass_CoG!B66&lt;&gt;"",Mass_CoG!B66,Mass_CoG!C50)</f>
        <v>31.2886629259024</v>
      </c>
      <c r="C13" s="20" t="s">
        <v>560</v>
      </c>
    </row>
    <row r="14" customFormat="false" ht="15" hidden="false" customHeight="true" outlineLevel="0" collapsed="false">
      <c r="A14" s="18" t="s">
        <v>458</v>
      </c>
      <c r="B14" s="30" t="n">
        <f aca="false">Mass_CoG!B8</f>
        <v>102</v>
      </c>
      <c r="C14" s="20"/>
    </row>
    <row r="15" customFormat="false" ht="15" hidden="false" customHeight="true" outlineLevel="0" collapsed="false">
      <c r="A15" s="18" t="s">
        <v>561</v>
      </c>
      <c r="B15" s="30" t="n">
        <f aca="false">Grip_Tipping!C12</f>
        <v>0.8779031807736</v>
      </c>
      <c r="C15" s="20" t="s">
        <v>562</v>
      </c>
    </row>
    <row r="16" customFormat="false" ht="15" hidden="false" customHeight="true" outlineLevel="0" collapsed="false">
      <c r="A16" s="18" t="s">
        <v>563</v>
      </c>
      <c r="B16" s="34"/>
      <c r="C16" s="20" t="s">
        <v>564</v>
      </c>
    </row>
    <row r="17" customFormat="false" ht="15" hidden="false" customHeight="true" outlineLevel="0" collapsed="false">
      <c r="A17" s="18" t="s">
        <v>565</v>
      </c>
      <c r="B17" s="34"/>
      <c r="C17" s="20" t="s">
        <v>566</v>
      </c>
    </row>
    <row r="19" customFormat="false" ht="15" hidden="false" customHeight="true" outlineLevel="0" collapsed="false">
      <c r="A19" s="17" t="s">
        <v>567</v>
      </c>
    </row>
    <row r="20" customFormat="false" ht="15" hidden="false" customHeight="true" outlineLevel="0" collapsed="false">
      <c r="A20" s="18" t="s">
        <v>568</v>
      </c>
      <c r="B20" s="30" t="n">
        <f aca="false">B6/B5*PI()*B4/1000/60</f>
        <v>1.67551608191456</v>
      </c>
    </row>
    <row r="21" customFormat="false" ht="15" hidden="false" customHeight="true" outlineLevel="0" collapsed="false">
      <c r="A21" s="18" t="s">
        <v>569</v>
      </c>
      <c r="B21" s="30" t="n">
        <f aca="false">B6*B8/B7/B5*PI()*B4/1000/60</f>
        <v>2.06646983436129</v>
      </c>
    </row>
    <row r="22" customFormat="false" ht="15" hidden="false" customHeight="true" outlineLevel="0" collapsed="false">
      <c r="A22" s="18" t="s">
        <v>570</v>
      </c>
      <c r="B22" s="30" t="n">
        <f aca="false">B6*B9/B7/B5*PI()*B4/1000/60</f>
        <v>2.34572251468038</v>
      </c>
    </row>
    <row r="23" customFormat="false" ht="15" hidden="false" customHeight="true" outlineLevel="0" collapsed="false">
      <c r="A23" s="18" t="s">
        <v>571</v>
      </c>
      <c r="B23" s="30" t="n">
        <f aca="false">IF(B10="","",B21*B10/100)</f>
        <v>2.06646983436129</v>
      </c>
    </row>
    <row r="24" customFormat="false" ht="15" hidden="false" customHeight="true" outlineLevel="0" collapsed="false">
      <c r="A24" s="18" t="s">
        <v>572</v>
      </c>
      <c r="B24" s="37" t="n">
        <v>1.31</v>
      </c>
    </row>
    <row r="25" customFormat="false" ht="15" hidden="false" customHeight="true" outlineLevel="0" collapsed="false">
      <c r="A25" s="18" t="s">
        <v>573</v>
      </c>
      <c r="B25" s="30" t="str">
        <f aca="false">IF(B16="","",B16*B5/(B4/2000))</f>
        <v/>
      </c>
    </row>
    <row r="26" customFormat="false" ht="15" hidden="false" customHeight="true" outlineLevel="0" collapsed="false">
      <c r="A26" s="18" t="s">
        <v>574</v>
      </c>
      <c r="B26" s="30" t="str">
        <f aca="false">IF(OR(B25="",B11=""),"",B25/(B11/1000))</f>
        <v/>
      </c>
    </row>
    <row r="27" customFormat="false" ht="15" hidden="false" customHeight="true" outlineLevel="0" collapsed="false">
      <c r="A27" s="18" t="s">
        <v>575</v>
      </c>
      <c r="B27" s="28" t="n">
        <f aca="false">IF(OR(B12="",B14=""),"",1-B12/B14)</f>
        <v>0.416478359116982</v>
      </c>
    </row>
    <row r="28" customFormat="false" ht="15" hidden="false" customHeight="true" outlineLevel="0" collapsed="false">
      <c r="A28" s="18" t="s">
        <v>576</v>
      </c>
      <c r="B28" s="30" t="n">
        <f aca="false">IF(OR(B15="",B12="",B13=""),"",B15*9.81*(1-B12/B14)/(1-B15*B13/B14))</f>
        <v>4.9087158648216</v>
      </c>
    </row>
    <row r="29" customFormat="false" ht="15" hidden="false" customHeight="true" outlineLevel="0" collapsed="false">
      <c r="A29" s="18" t="s">
        <v>577</v>
      </c>
      <c r="B29" s="38" t="str">
        <f aca="false">IF(OR(B26="",B28=""),"",IF(B26&lt;B28,"Motor","grip (wheels spin)"))</f>
        <v/>
      </c>
    </row>
    <row r="30" customFormat="false" ht="15" hidden="false" customHeight="true" outlineLevel="0" collapsed="false">
      <c r="A30" s="18" t="s">
        <v>578</v>
      </c>
      <c r="B30" s="30" t="str">
        <f aca="false">IF(OR(B26="",B28=""),"",1/MIN(B26,B28))</f>
        <v/>
      </c>
    </row>
    <row r="32" customFormat="false" ht="15" hidden="false" customHeight="true" outlineLevel="0" collapsed="false">
      <c r="A32" s="17" t="s">
        <v>579</v>
      </c>
    </row>
    <row r="33" customFormat="false" ht="34.5" hidden="false" customHeight="true" outlineLevel="0" collapsed="false">
      <c r="A33" s="11" t="s">
        <v>580</v>
      </c>
      <c r="B33" s="11" t="s">
        <v>581</v>
      </c>
      <c r="C33" s="11" t="s">
        <v>582</v>
      </c>
      <c r="D33" s="11" t="s">
        <v>583</v>
      </c>
      <c r="E33" s="11" t="s">
        <v>584</v>
      </c>
    </row>
    <row r="34" customFormat="false" ht="15" hidden="false" customHeight="true" outlineLevel="0" collapsed="false">
      <c r="E34" s="20" t="s">
        <v>585</v>
      </c>
    </row>
    <row r="35" customFormat="false" ht="15" hidden="false" customHeight="true" outlineLevel="0" collapsed="false">
      <c r="A35" s="18" t="s">
        <v>586</v>
      </c>
      <c r="B35" s="36" t="n">
        <v>2000</v>
      </c>
      <c r="C35" s="36" t="n">
        <v>8680</v>
      </c>
      <c r="D35" s="39" t="n">
        <f aca="false">IF(OR(B35="",C35="",C35=0),"",B35/C35)</f>
        <v>0.230414746543779</v>
      </c>
      <c r="E35" s="30" t="n">
        <f aca="false">IF(OR(D35="",$B$45=""),"",D35*$B$45/PI())</f>
        <v>29.9240630329462</v>
      </c>
    </row>
    <row r="36" customFormat="false" ht="15" hidden="false" customHeight="true" outlineLevel="0" collapsed="false">
      <c r="A36" s="18" t="s">
        <v>587</v>
      </c>
      <c r="B36" s="36" t="n">
        <v>2004</v>
      </c>
      <c r="C36" s="36" t="n">
        <v>8672</v>
      </c>
      <c r="D36" s="39" t="n">
        <f aca="false">IF(OR(B36="",C36="",C36=0),"",B36/C36)</f>
        <v>0.231088560885609</v>
      </c>
      <c r="E36" s="30" t="n">
        <f aca="false">IF(OR(D36="",$B$45=""),"",D36*$B$45/PI())</f>
        <v>30.0115715936606</v>
      </c>
    </row>
    <row r="37" customFormat="false" ht="15" hidden="false" customHeight="true" outlineLevel="0" collapsed="false">
      <c r="A37" s="18" t="s">
        <v>588</v>
      </c>
      <c r="B37" s="36" t="n">
        <v>2001</v>
      </c>
      <c r="C37" s="36" t="n">
        <v>8633</v>
      </c>
      <c r="D37" s="39" t="n">
        <f aca="false">IF(OR(B37="",C37="",C37=0),"",B37/C37)</f>
        <v>0.231785011004286</v>
      </c>
      <c r="E37" s="30" t="n">
        <f aca="false">IF(OR(D37="",$B$45=""),"",D37*$B$45/PI())</f>
        <v>30.1020198725282</v>
      </c>
    </row>
    <row r="38" customFormat="false" ht="15" hidden="false" customHeight="true" outlineLevel="0" collapsed="false">
      <c r="A38" s="18" t="s">
        <v>589</v>
      </c>
      <c r="B38" s="36" t="n">
        <v>2002</v>
      </c>
      <c r="C38" s="36" t="n">
        <v>8675</v>
      </c>
      <c r="D38" s="39" t="n">
        <f aca="false">IF(OR(B38="",C38="",C38=0),"",B38/C38)</f>
        <v>0.230778097982709</v>
      </c>
      <c r="E38" s="30" t="n">
        <f aca="false">IF(OR(D38="",$B$45=""),"",D38*$B$45/PI())</f>
        <v>29.9712516418558</v>
      </c>
    </row>
    <row r="39" customFormat="false" ht="15" hidden="false" customHeight="true" outlineLevel="0" collapsed="false">
      <c r="A39" s="18" t="s">
        <v>590</v>
      </c>
      <c r="B39" s="36" t="n">
        <v>2004</v>
      </c>
      <c r="C39" s="36" t="n">
        <v>8697</v>
      </c>
      <c r="D39" s="39" t="n">
        <f aca="false">IF(OR(B39="",C39="",C39=0),"",B39/C39)</f>
        <v>0.230424284235943</v>
      </c>
      <c r="E39" s="30" t="n">
        <f aca="false">IF(OR(D39="",$B$45=""),"",D39*$B$45/PI())</f>
        <v>29.9253016971628</v>
      </c>
    </row>
    <row r="40" customFormat="false" ht="15" hidden="false" customHeight="true" outlineLevel="0" collapsed="false">
      <c r="A40" s="18" t="s">
        <v>591</v>
      </c>
      <c r="B40" s="36" t="n">
        <v>1998</v>
      </c>
      <c r="C40" s="36" t="n">
        <v>8643</v>
      </c>
      <c r="D40" s="39" t="n">
        <f aca="false">IF(OR(B40="",C40="",C40=0),"",B40/C40)</f>
        <v>0.23116973273169</v>
      </c>
      <c r="E40" s="30" t="n">
        <f aca="false">IF(OR(D40="",$B$45=""),"",D40*$B$45/PI())</f>
        <v>30.0221134165044</v>
      </c>
    </row>
    <row r="41" customFormat="false" ht="15" hidden="false" customHeight="true" outlineLevel="0" collapsed="false">
      <c r="A41" s="18" t="s">
        <v>592</v>
      </c>
      <c r="B41" s="36" t="n">
        <v>2001</v>
      </c>
      <c r="C41" s="36" t="n">
        <v>8631</v>
      </c>
      <c r="D41" s="39" t="n">
        <f aca="false">IF(OR(B41="",C41="",C41=0),"",B41/C41)</f>
        <v>0.231838720889816</v>
      </c>
      <c r="E41" s="30" t="n">
        <f aca="false">IF(OR(D41="",$B$45=""),"",D41*$B$45/PI())</f>
        <v>30.1089951986486</v>
      </c>
    </row>
    <row r="42" customFormat="false" ht="15" hidden="false" customHeight="true" outlineLevel="0" collapsed="false">
      <c r="A42" s="18" t="s">
        <v>593</v>
      </c>
      <c r="B42" s="36" t="n">
        <v>2000</v>
      </c>
      <c r="C42" s="36" t="n">
        <v>8634</v>
      </c>
      <c r="D42" s="39" t="n">
        <f aca="false">IF(OR(B42="",C42="",C42=0),"",B42/C42)</f>
        <v>0.231642344220524</v>
      </c>
      <c r="E42" s="30" t="n">
        <f aca="false">IF(OR(D42="",$B$45=""),"",D42*$B$45/PI())</f>
        <v>30.083491675466</v>
      </c>
    </row>
    <row r="43" customFormat="false" ht="15" hidden="false" customHeight="true" outlineLevel="0" collapsed="false">
      <c r="A43" s="18" t="s">
        <v>594</v>
      </c>
      <c r="B43" s="36" t="n">
        <v>1997</v>
      </c>
      <c r="C43" s="36" t="n">
        <v>8614</v>
      </c>
      <c r="D43" s="39" t="n">
        <f aca="false">IF(OR(B43="",C43="",C43=0),"",B43/C43)</f>
        <v>0.231831901555607</v>
      </c>
      <c r="E43" s="30" t="n">
        <f aca="false">IF(OR(D43="",$B$45=""),"",D43*$B$45/PI())</f>
        <v>30.1081095687583</v>
      </c>
    </row>
    <row r="44" customFormat="false" ht="15" hidden="false" customHeight="true" outlineLevel="0" collapsed="false">
      <c r="A44" s="18" t="s">
        <v>595</v>
      </c>
      <c r="B44" s="36" t="n">
        <v>2002</v>
      </c>
      <c r="C44" s="36" t="n">
        <v>8642</v>
      </c>
      <c r="D44" s="39" t="n">
        <f aca="false">IF(OR(B44="",C44="",C44=0),"",B44/C44)</f>
        <v>0.231659338116177</v>
      </c>
      <c r="E44" s="30" t="n">
        <f aca="false">IF(OR(D44="",$B$45=""),"",D44*$B$45/PI())</f>
        <v>30.0856986800624</v>
      </c>
    </row>
    <row r="45" customFormat="false" ht="15" hidden="false" customHeight="true" outlineLevel="0" collapsed="false">
      <c r="A45" s="18" t="s">
        <v>596</v>
      </c>
      <c r="B45" s="36" t="n">
        <v>408</v>
      </c>
      <c r="C45" s="1" t="s">
        <v>597</v>
      </c>
    </row>
    <row r="46" customFormat="false" ht="15" hidden="false" customHeight="true" outlineLevel="0" collapsed="false">
      <c r="A46" s="18" t="s">
        <v>598</v>
      </c>
      <c r="B46" s="39" t="n">
        <f aca="false">IF(COUNT(D35:D44)=0,"",AVERAGE(D35:D44))</f>
        <v>0.231263273816614</v>
      </c>
    </row>
    <row r="47" customFormat="false" ht="15" hidden="false" customHeight="true" outlineLevel="0" collapsed="false">
      <c r="A47" s="18" t="s">
        <v>599</v>
      </c>
      <c r="B47" s="30" t="n">
        <f aca="false">IF(COUNT(E35:E44)=0,"",AVERAGE(E35:E44))</f>
        <v>30.0342616377593</v>
      </c>
    </row>
    <row r="49" customFormat="false" ht="15" hidden="false" customHeight="true" outlineLevel="0" collapsed="false">
      <c r="A49" s="17" t="s">
        <v>600</v>
      </c>
    </row>
    <row r="50" customFormat="false" ht="15" hidden="false" customHeight="true" outlineLevel="0" collapsed="false">
      <c r="A50" s="18" t="s">
        <v>601</v>
      </c>
      <c r="B50" s="34" t="n">
        <v>0.75</v>
      </c>
    </row>
    <row r="51" customFormat="false" ht="15" hidden="false" customHeight="true" outlineLevel="0" collapsed="false">
      <c r="A51" s="18" t="s">
        <v>602</v>
      </c>
      <c r="B51" s="34"/>
      <c r="C51" s="1" t="s">
        <v>603</v>
      </c>
    </row>
    <row r="52" customFormat="false" ht="15" hidden="false" customHeight="true" outlineLevel="0" collapsed="false">
      <c r="A52" s="18" t="s">
        <v>604</v>
      </c>
      <c r="B52" s="34" t="n">
        <v>493</v>
      </c>
      <c r="C52" s="1" t="s">
        <v>605</v>
      </c>
    </row>
    <row r="53" customFormat="false" ht="15" hidden="false" customHeight="true" outlineLevel="0" collapsed="false">
      <c r="A53" s="18" t="s">
        <v>606</v>
      </c>
      <c r="B53" s="30" t="str">
        <f aca="false">IF(OR(B50="",B51="",B51=0),"",B50^2/(2*B51/1000))</f>
        <v/>
      </c>
    </row>
    <row r="54" customFormat="false" ht="15" hidden="false" customHeight="true" outlineLevel="0" collapsed="false">
      <c r="A54" s="18" t="s">
        <v>607</v>
      </c>
      <c r="B54" s="30" t="n">
        <f aca="false">IF(OR(B50="",B52="",B52=0),"",B50^2/(2*B52/1000))</f>
        <v>0.570486815415822</v>
      </c>
    </row>
    <row r="55" customFormat="false" ht="15" hidden="false" customHeight="true" outlineLevel="0" collapsed="false">
      <c r="A55" s="18" t="s">
        <v>608</v>
      </c>
      <c r="B55" s="26" t="n">
        <f aca="false">IF(B54="","",B54/9.81)</f>
        <v>0.0581535999404507</v>
      </c>
    </row>
    <row r="56" customFormat="false" ht="15" hidden="false" customHeight="true" outlineLevel="0" collapsed="false">
      <c r="A56" s="18" t="s">
        <v>609</v>
      </c>
      <c r="B56" s="25" t="n">
        <f aca="false">IF(OR(B50="",B15="",B12=""),"",1000*B50^2/(2*B15*9.81*(1-B12/B14)))</f>
        <v>78.4123485104389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7" min="3" style="1" width="10"/>
    <col collapsed="false" customWidth="true" hidden="false" outlineLevel="0" max="8" min="8" style="1" width="12"/>
    <col collapsed="false" customWidth="true" hidden="false" outlineLevel="0" max="9" min="9" style="1" width="10"/>
  </cols>
  <sheetData>
    <row r="1" customFormat="false" ht="17.25" hidden="false" customHeight="true" outlineLevel="0" collapsed="false">
      <c r="A1" s="2" t="s">
        <v>610</v>
      </c>
    </row>
    <row r="4" customFormat="false" ht="45.75" hidden="false" customHeight="true" outlineLevel="0" collapsed="false">
      <c r="A4" s="11" t="s">
        <v>27</v>
      </c>
      <c r="B4" s="11" t="s">
        <v>611</v>
      </c>
      <c r="C4" s="11" t="s">
        <v>612</v>
      </c>
      <c r="D4" s="11"/>
      <c r="E4" s="11"/>
      <c r="F4" s="11"/>
      <c r="G4" s="11"/>
      <c r="H4" s="11" t="s">
        <v>613</v>
      </c>
      <c r="I4" s="11" t="s">
        <v>614</v>
      </c>
    </row>
    <row r="5" customFormat="false" ht="15" hidden="false" customHeight="true" outlineLevel="0" collapsed="false">
      <c r="A5" s="18" t="s">
        <v>615</v>
      </c>
      <c r="B5" s="18" t="s">
        <v>616</v>
      </c>
      <c r="C5" s="19" t="n">
        <v>40.9</v>
      </c>
      <c r="D5" s="19" t="n">
        <v>41.2</v>
      </c>
      <c r="E5" s="19" t="n">
        <v>42.4</v>
      </c>
      <c r="F5" s="19" t="n">
        <v>40.5</v>
      </c>
      <c r="G5" s="19" t="n">
        <v>41.4</v>
      </c>
      <c r="H5" s="24" t="n">
        <f aca="false">IF(COUNT(C5:G5)=0,"",AVERAGE(C5:G5))</f>
        <v>41.28</v>
      </c>
      <c r="I5" s="30" t="n">
        <f aca="false">IF(H5="","",TAN(RADIANS(H5)))</f>
        <v>0.8779031807736</v>
      </c>
    </row>
    <row r="6" customFormat="false" ht="15" hidden="false" customHeight="true" outlineLevel="0" collapsed="false">
      <c r="A6" s="18" t="s">
        <v>615</v>
      </c>
      <c r="B6" s="18" t="s">
        <v>617</v>
      </c>
      <c r="C6" s="19" t="n">
        <v>34.1</v>
      </c>
      <c r="D6" s="19" t="n">
        <v>35.2</v>
      </c>
      <c r="E6" s="19" t="n">
        <v>35</v>
      </c>
      <c r="F6" s="19" t="n">
        <v>35.1</v>
      </c>
      <c r="G6" s="19" t="n">
        <v>33.3</v>
      </c>
      <c r="H6" s="24" t="n">
        <f aca="false">IF(COUNT(C6:G6)=0,"",AVERAGE(C6:G6))</f>
        <v>34.54</v>
      </c>
      <c r="I6" s="30" t="n">
        <f aca="false">IF(H6="","",TAN(RADIANS(H6)))</f>
        <v>0.688309349985208</v>
      </c>
    </row>
    <row r="7" customFormat="false" ht="15" hidden="false" customHeight="true" outlineLevel="0" collapsed="false">
      <c r="A7" s="18" t="s">
        <v>618</v>
      </c>
      <c r="B7" s="18" t="s">
        <v>616</v>
      </c>
      <c r="C7" s="19" t="n">
        <v>44.3</v>
      </c>
      <c r="D7" s="19" t="n">
        <v>44.2</v>
      </c>
      <c r="E7" s="19" t="n">
        <v>45.3</v>
      </c>
      <c r="F7" s="19" t="n">
        <v>45.4</v>
      </c>
      <c r="G7" s="19" t="n">
        <v>43.8</v>
      </c>
      <c r="H7" s="24" t="n">
        <f aca="false">IF(COUNT(C7:G7)=0,"",AVERAGE(C7:G7))</f>
        <v>44.6</v>
      </c>
      <c r="I7" s="30" t="n">
        <f aca="false">IF(H7="","",TAN(RADIANS(H7)))</f>
        <v>0.986133944044009</v>
      </c>
    </row>
    <row r="8" customFormat="false" ht="15" hidden="false" customHeight="true" outlineLevel="0" collapsed="false">
      <c r="A8" s="18" t="s">
        <v>618</v>
      </c>
      <c r="B8" s="18" t="s">
        <v>617</v>
      </c>
      <c r="C8" s="19" t="n">
        <v>35.6</v>
      </c>
      <c r="D8" s="19" t="n">
        <v>35.7</v>
      </c>
      <c r="E8" s="19" t="n">
        <v>35.8</v>
      </c>
      <c r="F8" s="19" t="n">
        <v>36.5</v>
      </c>
      <c r="G8" s="19" t="n">
        <v>36.7</v>
      </c>
      <c r="H8" s="24" t="n">
        <f aca="false">IF(COUNT(C8:G8)=0,"",AVERAGE(C8:G8))</f>
        <v>36.06</v>
      </c>
      <c r="I8" s="30" t="n">
        <f aca="false">IF(H8="","",TAN(RADIANS(H8)))</f>
        <v>0.728143722319513</v>
      </c>
    </row>
    <row r="9" customFormat="false" ht="15" hidden="false" customHeight="true" outlineLevel="0" collapsed="false">
      <c r="A9" s="18" t="s">
        <v>619</v>
      </c>
      <c r="B9" s="18" t="s">
        <v>616</v>
      </c>
      <c r="C9" s="19" t="n">
        <v>30.4</v>
      </c>
      <c r="D9" s="19" t="n">
        <v>29.8</v>
      </c>
      <c r="E9" s="19" t="n">
        <v>30.8</v>
      </c>
      <c r="F9" s="19" t="n">
        <v>30.7</v>
      </c>
      <c r="G9" s="19" t="n">
        <v>31.2</v>
      </c>
      <c r="H9" s="24" t="n">
        <f aca="false">IF(COUNT(C9:G9)=0,"",AVERAGE(C9:G9))</f>
        <v>30.58</v>
      </c>
      <c r="I9" s="30" t="n">
        <f aca="false">IF(H9="","",TAN(RADIANS(H9)))</f>
        <v>0.590927296290316</v>
      </c>
    </row>
    <row r="11" customFormat="false" ht="15" hidden="false" customHeight="true" outlineLevel="0" collapsed="false">
      <c r="A11" s="17" t="s">
        <v>620</v>
      </c>
    </row>
    <row r="12" customFormat="false" ht="15" hidden="false" customHeight="true" outlineLevel="0" collapsed="false">
      <c r="A12" s="18" t="s">
        <v>621</v>
      </c>
      <c r="C12" s="30" t="n">
        <f aca="false">I5</f>
        <v>0.8779031807736</v>
      </c>
    </row>
    <row r="13" customFormat="false" ht="15" hidden="false" customHeight="true" outlineLevel="0" collapsed="false">
      <c r="A13" s="18" t="s">
        <v>622</v>
      </c>
      <c r="C13" s="30" t="n">
        <f aca="false">I7</f>
        <v>0.986133944044009</v>
      </c>
    </row>
    <row r="14" customFormat="false" ht="15" hidden="false" customHeight="true" outlineLevel="0" collapsed="false">
      <c r="A14" s="18" t="s">
        <v>454</v>
      </c>
      <c r="C14" s="24" t="n">
        <f aca="false">Drivetrain!B13</f>
        <v>31.2886629259024</v>
      </c>
    </row>
    <row r="15" customFormat="false" ht="15" hidden="false" customHeight="true" outlineLevel="0" collapsed="false">
      <c r="A15" s="18" t="s">
        <v>623</v>
      </c>
      <c r="C15" s="24" t="n">
        <f aca="false">Mass_CoG!B9</f>
        <v>96.2</v>
      </c>
    </row>
    <row r="17" customFormat="false" ht="15" hidden="false" customHeight="true" outlineLevel="0" collapsed="false">
      <c r="A17" s="18" t="s">
        <v>624</v>
      </c>
      <c r="C17" s="24" t="n">
        <f aca="false">IF(OR(C14="",C14=0),"",9.81*C15/2/C14)</f>
        <v>15.0808937127629</v>
      </c>
    </row>
    <row r="18" customFormat="false" ht="15" hidden="false" customHeight="true" outlineLevel="0" collapsed="false">
      <c r="A18" s="18" t="s">
        <v>625</v>
      </c>
      <c r="C18" s="24" t="n">
        <f aca="false">IF(C13="","",C13*9.81)</f>
        <v>9.67397399107173</v>
      </c>
    </row>
    <row r="19" customFormat="false" ht="15" hidden="false" customHeight="true" outlineLevel="0" collapsed="false">
      <c r="A19" s="18" t="s">
        <v>626</v>
      </c>
      <c r="C19" s="38" t="str">
        <f aca="false">IF(OR(C17="",C18=""),"",IF(C18&lt;C17,"slides before tipping (safe)","TIPS before sliding"))</f>
        <v>slides before tipping (safe)</v>
      </c>
    </row>
    <row r="20" customFormat="false" ht="15" hidden="false" customHeight="true" outlineLevel="0" collapsed="false">
      <c r="A20" s="18" t="s">
        <v>627</v>
      </c>
      <c r="C20" s="24" t="n">
        <f aca="false">IF(OR(C17="",C18="",C18=0),"",C17/C18)</f>
        <v>1.5589140229942</v>
      </c>
    </row>
    <row r="22" customFormat="false" ht="68.25" hidden="false" customHeight="true" outlineLevel="0" collapsed="false">
      <c r="A22" s="11" t="s">
        <v>628</v>
      </c>
      <c r="B22" s="11"/>
      <c r="C22" s="11" t="s">
        <v>629</v>
      </c>
      <c r="D22" s="11" t="s">
        <v>630</v>
      </c>
      <c r="E22" s="11" t="s">
        <v>631</v>
      </c>
    </row>
    <row r="23" customFormat="false" ht="15" hidden="false" customHeight="true" outlineLevel="0" collapsed="false">
      <c r="A23" s="36" t="n">
        <v>100</v>
      </c>
      <c r="C23" s="30" t="n">
        <f aca="false">IF(C13="","",SQRT(C13*9.81*A23/1000))</f>
        <v>0.983563622297599</v>
      </c>
      <c r="D23" s="28" t="n">
        <f aca="false">$C$15/(2*A23)</f>
        <v>0.481</v>
      </c>
      <c r="E23" s="38" t="str">
        <f aca="false">TEXT(1-$C$15/(2*A23),"0.00")&amp;" / "&amp;TEXT(1+$C$15/(2*A23),"0.00")</f>
        <v>0.52 / 1.48</v>
      </c>
    </row>
    <row r="24" customFormat="false" ht="15" hidden="false" customHeight="true" outlineLevel="0" collapsed="false">
      <c r="A24" s="36" t="n">
        <v>150</v>
      </c>
      <c r="C24" s="30" t="n">
        <f aca="false">IF(C13="","",SQRT(C13*9.81*A24/1000))</f>
        <v>1.20461450209632</v>
      </c>
      <c r="D24" s="28" t="n">
        <f aca="false">$C$15/(2*A24)</f>
        <v>0.320666666666667</v>
      </c>
      <c r="E24" s="38" t="str">
        <f aca="false">TEXT(1-$C$15/(2*A24),"0.00")&amp;" / "&amp;TEXT(1+$C$15/(2*A24),"0.00")</f>
        <v>0.68 / 1.32</v>
      </c>
    </row>
    <row r="25" customFormat="false" ht="15" hidden="false" customHeight="true" outlineLevel="0" collapsed="false">
      <c r="A25" s="36" t="n">
        <v>200</v>
      </c>
      <c r="C25" s="30" t="n">
        <f aca="false">IF(C13="","",SQRT(C13*9.81*A25/1000))</f>
        <v>1.39096901411007</v>
      </c>
      <c r="D25" s="28" t="n">
        <f aca="false">$C$15/(2*A25)</f>
        <v>0.2405</v>
      </c>
      <c r="E25" s="38" t="str">
        <f aca="false">TEXT(1-$C$15/(2*A25),"0.00")&amp;" / "&amp;TEXT(1+$C$15/(2*A25),"0.00")</f>
        <v>0.76 / 1.24</v>
      </c>
    </row>
    <row r="26" customFormat="false" ht="15" hidden="false" customHeight="true" outlineLevel="0" collapsed="false">
      <c r="A26" s="36" t="n">
        <v>300</v>
      </c>
      <c r="C26" s="30" t="n">
        <f aca="false">IF(C13="","",SQRT(C13*9.81*A26/1000))</f>
        <v>1.70358216629593</v>
      </c>
      <c r="D26" s="28" t="n">
        <f aca="false">$C$15/(2*A26)</f>
        <v>0.160333333333333</v>
      </c>
      <c r="E26" s="38" t="str">
        <f aca="false">TEXT(1-$C$15/(2*A26),"0.00")&amp;" / "&amp;TEXT(1+$C$15/(2*A26),"0.00")</f>
        <v>0.84 / 1.16</v>
      </c>
    </row>
    <row r="27" customFormat="false" ht="15" hidden="false" customHeight="true" outlineLevel="0" collapsed="false">
      <c r="A27" s="36" t="n">
        <v>500</v>
      </c>
      <c r="C27" s="30" t="n">
        <f aca="false">IF(C13="","",SQRT(C13*9.81*A27/1000))</f>
        <v>2.19931511965336</v>
      </c>
      <c r="D27" s="28" t="n">
        <f aca="false">$C$15/(2*A27)</f>
        <v>0.0962</v>
      </c>
      <c r="E27" s="38" t="str">
        <f aca="false">TEXT(1-$C$15/(2*A27),"0.00")&amp;" / "&amp;TEXT(1+$C$15/(2*A27),"0.00")</f>
        <v>0.90 / 1.10</v>
      </c>
    </row>
    <row r="28" customFormat="false" ht="15" hidden="false" customHeight="true" outlineLevel="0" collapsed="false">
      <c r="A28" s="36" t="n">
        <v>750</v>
      </c>
      <c r="C28" s="30" t="n">
        <f aca="false">IF(C13="","",SQRT(C13*9.81*A28/1000))</f>
        <v>2.69359991336943</v>
      </c>
      <c r="D28" s="28" t="n">
        <f aca="false">$C$15/(2*A28)</f>
        <v>0.0641333333333333</v>
      </c>
      <c r="E28" s="38" t="str">
        <f aca="false">TEXT(1-$C$15/(2*A28),"0.00")&amp;" / "&amp;TEXT(1+$C$15/(2*A28),"0.00")</f>
        <v>0.94 / 1.06</v>
      </c>
    </row>
    <row r="29" customFormat="false" ht="15" hidden="false" customHeight="true" outlineLevel="0" collapsed="false">
      <c r="A29" s="36" t="n">
        <v>1000</v>
      </c>
      <c r="C29" s="30" t="n">
        <f aca="false">IF(C13="","",SQRT(C13*9.81*A29/1000))</f>
        <v>3.11030127014599</v>
      </c>
      <c r="D29" s="28" t="n">
        <f aca="false">$C$15/(2*A29)</f>
        <v>0.0481</v>
      </c>
      <c r="E29" s="38" t="str">
        <f aca="false">TEXT(1-$C$15/(2*A29),"0.00")&amp;" / "&amp;TEXT(1+$C$15/(2*A29),"0.00")</f>
        <v>0.95 / 1.05</v>
      </c>
    </row>
    <row r="31" customFormat="false" ht="45" hidden="false" customHeight="true" outlineLevel="0" collapsed="false">
      <c r="A31" s="16" t="s">
        <v>632</v>
      </c>
      <c r="B31" s="16"/>
      <c r="C31" s="16"/>
      <c r="D31" s="16"/>
      <c r="E31" s="16"/>
      <c r="F31" s="16"/>
      <c r="G31" s="16"/>
      <c r="H31" s="16"/>
      <c r="I31" s="16"/>
    </row>
    <row r="33" customFormat="false" ht="15" hidden="false" customHeight="true" outlineLevel="0" collapsed="false">
      <c r="A33" s="17" t="s">
        <v>633</v>
      </c>
    </row>
    <row r="34" customFormat="false" ht="34.5" hidden="false" customHeight="true" outlineLevel="0" collapsed="false">
      <c r="A34" s="11" t="s">
        <v>634</v>
      </c>
      <c r="B34" s="11" t="s">
        <v>635</v>
      </c>
      <c r="C34" s="11" t="s">
        <v>636</v>
      </c>
      <c r="D34" s="11" t="s">
        <v>637</v>
      </c>
      <c r="E34" s="11" t="s">
        <v>638</v>
      </c>
      <c r="F34" s="11" t="s">
        <v>639</v>
      </c>
      <c r="G34" s="11" t="s">
        <v>451</v>
      </c>
    </row>
    <row r="35" customFormat="false" ht="15" hidden="false" customHeight="true" outlineLevel="0" collapsed="false">
      <c r="A35" s="18" t="s">
        <v>640</v>
      </c>
      <c r="B35" s="34">
        <v>31.6</v>
      </c>
      <c r="C35" s="34">
        <v>32.0</v>
      </c>
      <c r="D35" s="34">
        <v>31.9</v>
      </c>
      <c r="E35" s="30" t="n">
        <f aca="false">IF(COUNT(B35:D35)=0,"",AVERAGE(B35:D35))</f>
        <v>32.0433333333333</v>
      </c>
      <c r="F35" s="30" t="n">
        <f aca="false">IF(COUNT(B35:D35)&lt;2,"",MAX(B35:D35)-MIN(B35:D35))</f>
        <v>0.0499999999999972</v>
      </c>
      <c r="G35" s="19">
        <v>9</v>
      </c>
    </row>
    <row r="36" customFormat="false" ht="15" hidden="false" customHeight="true" outlineLevel="0" collapsed="false">
      <c r="A36" s="18" t="s">
        <v>641</v>
      </c>
      <c r="B36" s="34">
        <v>32.1</v>
      </c>
      <c r="C36" s="34">
        <v>32.0</v>
      </c>
      <c r="D36" s="34">
        <v>32.1</v>
      </c>
      <c r="E36" s="30" t="n">
        <f aca="false">IF(COUNT(B36:D36)=0,"",AVERAGE(B36:D36))</f>
        <v>31.9866666666667</v>
      </c>
      <c r="F36" s="30" t="n">
        <f aca="false">IF(COUNT(B36:D36)&lt;2,"",MAX(B36:D36)-MIN(B36:D36))</f>
        <v>0.0800000000000019</v>
      </c>
      <c r="G36" s="19">
        <v>9</v>
      </c>
    </row>
    <row r="37" customFormat="false" ht="15" hidden="false" customHeight="true" outlineLevel="0" collapsed="false">
      <c r="A37" s="18" t="s">
        <v>642</v>
      </c>
      <c r="B37" s="34">
        <v>32.1</v>
      </c>
      <c r="C37" s="34">
        <v>31.7</v>
      </c>
      <c r="D37" s="34">
        <v>32.0</v>
      </c>
      <c r="E37" s="30" t="n">
        <f aca="false">IF(COUNT(B37:D37)=0,"",AVERAGE(B37:D37))</f>
        <v>32.0333333333333</v>
      </c>
      <c r="F37" s="30" t="n">
        <f aca="false">IF(COUNT(B37:D37)&lt;2,"",MAX(B37:D37)-MIN(B37:D37))</f>
        <v>0.0399999999999992</v>
      </c>
      <c r="G37" s="19">
        <v>9</v>
      </c>
    </row>
    <row r="38" customFormat="false" ht="15" hidden="false" customHeight="true" outlineLevel="0" collapsed="false">
      <c r="A38" s="18" t="s">
        <v>643</v>
      </c>
      <c r="B38" s="34">
        <v>32.0</v>
      </c>
      <c r="C38" s="34">
        <v>32.0</v>
      </c>
      <c r="D38" s="34">
        <v>32.0</v>
      </c>
      <c r="E38" s="30" t="n">
        <f aca="false">IF(COUNT(B38:D38)=0,"",AVERAGE(B38:D38))</f>
        <v>31.98</v>
      </c>
      <c r="F38" s="30" t="n">
        <f aca="false">IF(COUNT(B38:D38)&lt;2,"",MAX(B38:D38)-MIN(B38:D38))</f>
        <v>0.0499999999999972</v>
      </c>
      <c r="G38" s="19">
        <v>9</v>
      </c>
    </row>
    <row r="40" customFormat="false" ht="15" hidden="false" customHeight="true" outlineLevel="0" collapsed="false">
      <c r="A40" s="18" t="s">
        <v>644</v>
      </c>
      <c r="E40" s="30" t="n">
        <f aca="false">IF(OR(E37="",E38=""),"",E37-E38)</f>
        <v>0.053333333333331</v>
      </c>
    </row>
    <row r="41" customFormat="false" ht="15" hidden="false" customHeight="true" outlineLevel="0" collapsed="false">
      <c r="A41" s="18" t="s">
        <v>645</v>
      </c>
      <c r="E41" s="24" t="n">
        <f aca="false">IF(OR(E40="",E40=0),"",C15*AVERAGE(E37:E38)/ABS(E40)/1000)</f>
        <v>28.8660125000013</v>
      </c>
    </row>
    <row r="42" customFormat="false" ht="15" hidden="false" customHeight="true" outlineLevel="0" collapsed="false">
      <c r="A42" s="18" t="s">
        <v>646</v>
      </c>
      <c r="E42" s="36"/>
    </row>
    <row r="43" customFormat="false" ht="15" hidden="false" customHeight="true" outlineLevel="0" collapsed="false">
      <c r="A43" s="18" t="s">
        <v>647</v>
      </c>
      <c r="E43" s="25" t="n">
        <f aca="false">IF(E41="","",1000*3^2/(2*E41))</f>
        <v>155.89267828384</v>
      </c>
    </row>
  </sheetData>
  <mergeCells count="1">
    <mergeCell ref="A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4" min="3" style="1" width="14"/>
    <col collapsed="false" customWidth="true" hidden="false" outlineLevel="0" max="5" min="5" style="1" width="16"/>
  </cols>
  <sheetData>
    <row r="1" customFormat="false" ht="17.25" hidden="false" customHeight="true" outlineLevel="0" collapsed="false">
      <c r="A1" s="2" t="s">
        <v>648</v>
      </c>
    </row>
    <row r="2" customFormat="false" ht="15" hidden="false" customHeight="true" outlineLevel="0" collapsed="false">
      <c r="A2" s="3" t="s">
        <v>649</v>
      </c>
    </row>
    <row r="4" customFormat="false" ht="15" hidden="false" customHeight="true" outlineLevel="0" collapsed="false">
      <c r="A4" s="18" t="s">
        <v>650</v>
      </c>
      <c r="B4" s="14" t="s">
        <v>651</v>
      </c>
    </row>
    <row r="5" customFormat="false" ht="15" hidden="false" customHeight="true" outlineLevel="0" collapsed="false">
      <c r="A5" s="18" t="s">
        <v>652</v>
      </c>
      <c r="B5" s="26" t="n">
        <f aca="false">IF(COUNT(A10:A409)=0,"",AVERAGE(INDEX(B10:B409,MAX(1,COUNT(A10:A409)-9)):INDEX(B10:B409,COUNT(A10:A409))))</f>
        <v>1.7194</v>
      </c>
    </row>
    <row r="6" customFormat="false" ht="15" hidden="false" customHeight="true" outlineLevel="0" collapsed="false">
      <c r="A6" s="18" t="s">
        <v>653</v>
      </c>
      <c r="B6" s="26" t="n">
        <f aca="false">IF(B5="","",0.632*B5)</f>
        <v>1.0866608</v>
      </c>
    </row>
    <row r="7" customFormat="false" ht="15" hidden="false" customHeight="true" outlineLevel="0" collapsed="false">
      <c r="A7" s="18" t="s">
        <v>654</v>
      </c>
      <c r="B7" s="26" t="n">
        <f aca="false">IF(COUNT(E10:E409)=0,"",MIN(E10:E409)-A10)</f>
        <v>0.341494204081633</v>
      </c>
    </row>
    <row r="8" customFormat="false" ht="15" hidden="false" customHeight="true" outlineLevel="0" collapsed="false">
      <c r="A8" s="18" t="s">
        <v>655</v>
      </c>
      <c r="B8" s="30" t="n">
        <f aca="false">IF(COUNT(D11:D409)=0,"",MAX(D11:D409))</f>
        <v>4.64999999999999</v>
      </c>
    </row>
    <row r="9" customFormat="false" ht="23.25" hidden="false" customHeight="true" outlineLevel="0" collapsed="false">
      <c r="A9" s="11" t="s">
        <v>501</v>
      </c>
      <c r="B9" s="11" t="s">
        <v>656</v>
      </c>
      <c r="C9" s="11" t="s">
        <v>657</v>
      </c>
      <c r="D9" s="11" t="s">
        <v>658</v>
      </c>
      <c r="E9" s="11" t="s">
        <v>659</v>
      </c>
    </row>
    <row r="10" customFormat="false" ht="15" hidden="false" customHeight="true" outlineLevel="0" collapsed="false">
      <c r="A10" s="33" t="n">
        <v>0</v>
      </c>
      <c r="B10" s="33" t="n">
        <v>0</v>
      </c>
      <c r="C10" s="34" t="n">
        <v>0.13</v>
      </c>
    </row>
    <row r="11" customFormat="false" ht="15" hidden="false" customHeight="true" outlineLevel="0" collapsed="false">
      <c r="A11" s="33" t="n">
        <v>0.02</v>
      </c>
      <c r="B11" s="33" t="n">
        <v>0</v>
      </c>
      <c r="C11" s="34" t="n">
        <v>0.13</v>
      </c>
      <c r="D11" s="30" t="n">
        <f aca="false">IF(OR(A11="",A10="",A11=A10),"",(B11-B10)/(A11-A10))</f>
        <v>0</v>
      </c>
      <c r="E11" s="26" t="str">
        <f aca="false">IF(OR(B11="",B10="",$B$6=""),"",IF(AND(B10&lt;$B$6,B11&gt;=$B$6),A10+($B$6-B10)/(B11-B10)*(A11-A10),""))</f>
        <v/>
      </c>
    </row>
    <row r="12" customFormat="false" ht="15" hidden="false" customHeight="true" outlineLevel="0" collapsed="false">
      <c r="A12" s="33" t="n">
        <v>0.04</v>
      </c>
      <c r="B12" s="33" t="n">
        <v>0</v>
      </c>
      <c r="C12" s="34" t="n">
        <v>0.6</v>
      </c>
      <c r="D12" s="30" t="n">
        <f aca="false">IF(OR(A12="",A11="",A12=A11),"",(B12-B11)/(A12-A11))</f>
        <v>0</v>
      </c>
      <c r="E12" s="26" t="str">
        <f aca="false">IF(OR(B12="",B11="",$B$6=""),"",IF(AND(B11&lt;$B$6,B12&gt;=$B$6),A11+($B$6-B11)/(B12-B11)*(A12-A11),""))</f>
        <v/>
      </c>
    </row>
    <row r="13" customFormat="false" ht="15" hidden="false" customHeight="true" outlineLevel="0" collapsed="false">
      <c r="A13" s="33" t="n">
        <v>0.06</v>
      </c>
      <c r="B13" s="33" t="n">
        <v>0.082</v>
      </c>
      <c r="C13" s="34" t="n">
        <v>0.57</v>
      </c>
      <c r="D13" s="30" t="n">
        <f aca="false">IF(OR(A13="",A12="",A13=A12),"",(B13-B12)/(A13-A12))</f>
        <v>4.1</v>
      </c>
      <c r="E13" s="26" t="str">
        <f aca="false">IF(OR(B13="",B12="",$B$6=""),"",IF(AND(B12&lt;$B$6,B13&gt;=$B$6),A12+($B$6-B12)/(B13-B12)*(A13-A12),""))</f>
        <v/>
      </c>
    </row>
    <row r="14" customFormat="false" ht="15" hidden="false" customHeight="true" outlineLevel="0" collapsed="false">
      <c r="A14" s="33" t="n">
        <v>0.08</v>
      </c>
      <c r="B14" s="33" t="n">
        <v>0.169</v>
      </c>
      <c r="C14" s="34" t="n">
        <v>0.55</v>
      </c>
      <c r="D14" s="30" t="n">
        <f aca="false">IF(OR(A14="",A13="",A14=A13),"",(B14-B13)/(A14-A13))</f>
        <v>4.35</v>
      </c>
      <c r="E14" s="26" t="str">
        <f aca="false">IF(OR(B14="",B13="",$B$6=""),"",IF(AND(B13&lt;$B$6,B14&gt;=$B$6),A13+($B$6-B13)/(B14-B13)*(A14-A13),""))</f>
        <v/>
      </c>
    </row>
    <row r="15" customFormat="false" ht="15" hidden="false" customHeight="true" outlineLevel="0" collapsed="false">
      <c r="A15" s="33" t="n">
        <v>0.1</v>
      </c>
      <c r="B15" s="33" t="n">
        <v>0.257</v>
      </c>
      <c r="C15" s="34" t="n">
        <v>0.53</v>
      </c>
      <c r="D15" s="30" t="n">
        <f aca="false">IF(OR(A15="",A14="",A15=A14),"",(B15-B14)/(A15-A14))</f>
        <v>4.4</v>
      </c>
      <c r="E15" s="26" t="str">
        <f aca="false">IF(OR(B15="",B14="",$B$6=""),"",IF(AND(B14&lt;$B$6,B15&gt;=$B$6),A14+($B$6-B14)/(B15-B14)*(A15-A14),""))</f>
        <v/>
      </c>
    </row>
    <row r="16" customFormat="false" ht="15" hidden="false" customHeight="true" outlineLevel="0" collapsed="false">
      <c r="A16" s="33" t="n">
        <v>0.12</v>
      </c>
      <c r="B16" s="33" t="n">
        <v>0.347</v>
      </c>
      <c r="C16" s="34" t="n">
        <v>0.52</v>
      </c>
      <c r="D16" s="30" t="n">
        <f aca="false">IF(OR(A16="",A15="",A16=A15),"",(B16-B15)/(A16-A15))</f>
        <v>4.5</v>
      </c>
      <c r="E16" s="26" t="str">
        <f aca="false">IF(OR(B16="",B15="",$B$6=""),"",IF(AND(B15&lt;$B$6,B16&gt;=$B$6),A15+($B$6-B15)/(B16-B15)*(A16-A15),""))</f>
        <v/>
      </c>
    </row>
    <row r="17" customFormat="false" ht="15" hidden="false" customHeight="true" outlineLevel="0" collapsed="false">
      <c r="A17" s="33" t="n">
        <v>0.14</v>
      </c>
      <c r="B17" s="33" t="n">
        <v>0.427</v>
      </c>
      <c r="C17" s="34" t="n">
        <v>0.5</v>
      </c>
      <c r="D17" s="30" t="n">
        <f aca="false">IF(OR(A17="",A16="",A17=A16),"",(B17-B16)/(A17-A16))</f>
        <v>4</v>
      </c>
      <c r="E17" s="26" t="str">
        <f aca="false">IF(OR(B17="",B16="",$B$6=""),"",IF(AND(B16&lt;$B$6,B17&gt;=$B$6),A16+($B$6-B16)/(B17-B16)*(A17-A16),""))</f>
        <v/>
      </c>
    </row>
    <row r="18" customFormat="false" ht="15" hidden="false" customHeight="true" outlineLevel="0" collapsed="false">
      <c r="A18" s="33" t="n">
        <v>0.16</v>
      </c>
      <c r="B18" s="33" t="n">
        <v>0.515</v>
      </c>
      <c r="C18" s="34" t="n">
        <v>0.48</v>
      </c>
      <c r="D18" s="30" t="n">
        <f aca="false">IF(OR(A18="",A17="",A18=A17),"",(B18-B17)/(A18-A17))</f>
        <v>4.4</v>
      </c>
      <c r="E18" s="26" t="str">
        <f aca="false">IF(OR(B18="",B17="",$B$6=""),"",IF(AND(B17&lt;$B$6,B18&gt;=$B$6),A17+($B$6-B17)/(B18-B17)*(A18-A17),""))</f>
        <v/>
      </c>
    </row>
    <row r="19" customFormat="false" ht="15" hidden="false" customHeight="true" outlineLevel="0" collapsed="false">
      <c r="A19" s="33" t="n">
        <v>0.18</v>
      </c>
      <c r="B19" s="33" t="n">
        <v>0.599</v>
      </c>
      <c r="C19" s="34" t="n">
        <v>0.48</v>
      </c>
      <c r="D19" s="30" t="n">
        <f aca="false">IF(OR(A19="",A18="",A19=A18),"",(B19-B18)/(A19-A18))</f>
        <v>4.2</v>
      </c>
      <c r="E19" s="26" t="str">
        <f aca="false">IF(OR(B19="",B18="",$B$6=""),"",IF(AND(B18&lt;$B$6,B19&gt;=$B$6),A18+($B$6-B18)/(B19-B18)*(A19-A18),""))</f>
        <v/>
      </c>
    </row>
    <row r="20" customFormat="false" ht="15" hidden="false" customHeight="true" outlineLevel="0" collapsed="false">
      <c r="A20" s="33" t="n">
        <v>0.2</v>
      </c>
      <c r="B20" s="33" t="n">
        <v>0.692</v>
      </c>
      <c r="C20" s="34" t="n">
        <v>0.45</v>
      </c>
      <c r="D20" s="30" t="n">
        <f aca="false">IF(OR(A20="",A19="",A20=A19),"",(B20-B19)/(A20-A19))</f>
        <v>4.64999999999999</v>
      </c>
      <c r="E20" s="26" t="str">
        <f aca="false">IF(OR(B20="",B19="",$B$6=""),"",IF(AND(B19&lt;$B$6,B20&gt;=$B$6),A19+($B$6-B19)/(B20-B19)*(A20-A19),""))</f>
        <v/>
      </c>
    </row>
    <row r="21" customFormat="false" ht="15" hidden="false" customHeight="true" outlineLevel="0" collapsed="false">
      <c r="A21" s="33" t="n">
        <v>0.22</v>
      </c>
      <c r="B21" s="33" t="n">
        <v>0.774</v>
      </c>
      <c r="C21" s="34" t="n">
        <v>0.43</v>
      </c>
      <c r="D21" s="30" t="n">
        <f aca="false">IF(OR(A21="",A20="",A21=A20),"",(B21-B20)/(A21-A20))</f>
        <v>4.10000000000001</v>
      </c>
      <c r="E21" s="26" t="str">
        <f aca="false">IF(OR(B21="",B20="",$B$6=""),"",IF(AND(B20&lt;$B$6,B21&gt;=$B$6),A20+($B$6-B20)/(B21-B20)*(A21-A20),""))</f>
        <v/>
      </c>
    </row>
    <row r="22" customFormat="false" ht="15" hidden="false" customHeight="true" outlineLevel="0" collapsed="false">
      <c r="A22" s="33" t="n">
        <v>0.24</v>
      </c>
      <c r="B22" s="33" t="n">
        <v>0.834</v>
      </c>
      <c r="C22" s="34" t="n">
        <v>0.42</v>
      </c>
      <c r="D22" s="30" t="n">
        <f aca="false">IF(OR(A22="",A21="",A22=A21),"",(B22-B21)/(A22-A21))</f>
        <v>3</v>
      </c>
      <c r="E22" s="26" t="str">
        <f aca="false">IF(OR(B22="",B21="",$B$6=""),"",IF(AND(B21&lt;$B$6,B22&gt;=$B$6),A21+($B$6-B21)/(B22-B21)*(A22-A21),""))</f>
        <v/>
      </c>
    </row>
    <row r="23" customFormat="false" ht="15" hidden="false" customHeight="true" outlineLevel="0" collapsed="false">
      <c r="A23" s="33" t="n">
        <v>0.26</v>
      </c>
      <c r="B23" s="33" t="n">
        <v>0.892</v>
      </c>
      <c r="C23" s="34" t="n">
        <v>0.42</v>
      </c>
      <c r="D23" s="30" t="n">
        <f aca="false">IF(OR(A23="",A22="",A23=A22),"",(B23-B22)/(A23-A22))</f>
        <v>2.9</v>
      </c>
      <c r="E23" s="26" t="str">
        <f aca="false">IF(OR(B23="",B22="",$B$6=""),"",IF(AND(B22&lt;$B$6,B23&gt;=$B$6),A22+($B$6-B22)/(B23-B22)*(A23-A22),""))</f>
        <v/>
      </c>
    </row>
    <row r="24" customFormat="false" ht="15" hidden="false" customHeight="true" outlineLevel="0" collapsed="false">
      <c r="A24" s="33" t="n">
        <v>0.28</v>
      </c>
      <c r="B24" s="33" t="n">
        <v>0.944</v>
      </c>
      <c r="C24" s="34" t="n">
        <v>0.39</v>
      </c>
      <c r="D24" s="30" t="n">
        <f aca="false">IF(OR(A24="",A23="",A24=A23),"",(B24-B23)/(A24-A23))</f>
        <v>2.59999999999999</v>
      </c>
      <c r="E24" s="26" t="str">
        <f aca="false">IF(OR(B24="",B23="",$B$6=""),"",IF(AND(B23&lt;$B$6,B24&gt;=$B$6),A23+($B$6-B23)/(B24-B23)*(A24-A23),""))</f>
        <v/>
      </c>
    </row>
    <row r="25" customFormat="false" ht="15" hidden="false" customHeight="true" outlineLevel="0" collapsed="false">
      <c r="A25" s="33" t="n">
        <v>0.3</v>
      </c>
      <c r="B25" s="33" t="n">
        <v>1.001</v>
      </c>
      <c r="C25" s="34" t="n">
        <v>0.39</v>
      </c>
      <c r="D25" s="30" t="n">
        <f aca="false">IF(OR(A25="",A24="",A25=A24),"",(B25-B24)/(A25-A24))</f>
        <v>2.85</v>
      </c>
      <c r="E25" s="26" t="str">
        <f aca="false">IF(OR(B25="",B24="",$B$6=""),"",IF(AND(B24&lt;$B$6,B25&gt;=$B$6),A24+($B$6-B24)/(B25-B24)*(A25-A24),""))</f>
        <v/>
      </c>
    </row>
    <row r="26" customFormat="false" ht="15" hidden="false" customHeight="true" outlineLevel="0" collapsed="false">
      <c r="A26" s="33" t="n">
        <v>0.32</v>
      </c>
      <c r="B26" s="33" t="n">
        <v>1.041</v>
      </c>
      <c r="C26" s="34" t="n">
        <v>0.38</v>
      </c>
      <c r="D26" s="30" t="n">
        <f aca="false">IF(OR(A26="",A25="",A26=A25),"",(B26-B25)/(A26-A25))</f>
        <v>2</v>
      </c>
      <c r="E26" s="26" t="str">
        <f aca="false">IF(OR(B26="",B25="",$B$6=""),"",IF(AND(B25&lt;$B$6,B26&gt;=$B$6),A25+($B$6-B25)/(B26-B25)*(A26-A25),""))</f>
        <v/>
      </c>
    </row>
    <row r="27" customFormat="false" ht="15" hidden="false" customHeight="true" outlineLevel="0" collapsed="false">
      <c r="A27" s="33" t="n">
        <v>0.34</v>
      </c>
      <c r="B27" s="33" t="n">
        <v>1.083</v>
      </c>
      <c r="C27" s="34" t="n">
        <v>0.37</v>
      </c>
      <c r="D27" s="30" t="n">
        <f aca="false">IF(OR(A27="",A26="",A27=A26),"",(B27-B26)/(A27-A26))</f>
        <v>2.1</v>
      </c>
      <c r="E27" s="26" t="str">
        <f aca="false">IF(OR(B27="",B26="",$B$6=""),"",IF(AND(B26&lt;$B$6,B27&gt;=$B$6),A26+($B$6-B26)/(B27-B26)*(A27-A26),""))</f>
        <v/>
      </c>
    </row>
    <row r="28" customFormat="false" ht="15" hidden="false" customHeight="true" outlineLevel="0" collapsed="false">
      <c r="A28" s="33" t="n">
        <v>0.36</v>
      </c>
      <c r="B28" s="33" t="n">
        <v>1.132</v>
      </c>
      <c r="C28" s="34" t="n">
        <v>0.37</v>
      </c>
      <c r="D28" s="30" t="n">
        <f aca="false">IF(OR(A28="",A27="",A28=A27),"",(B28-B27)/(A28-A27))</f>
        <v>2.45</v>
      </c>
      <c r="E28" s="26" t="n">
        <f aca="false">IF(OR(B28="",B27="",$B$6=""),"",IF(AND(B27&lt;$B$6,B28&gt;=$B$6),A27+($B$6-B27)/(B28-B27)*(A28-A27),""))</f>
        <v>0.341494204081633</v>
      </c>
    </row>
    <row r="29" customFormat="false" ht="15" hidden="false" customHeight="true" outlineLevel="0" collapsed="false">
      <c r="A29" s="33" t="n">
        <v>0.38</v>
      </c>
      <c r="B29" s="33" t="n">
        <v>1.168</v>
      </c>
      <c r="C29" s="34" t="n">
        <v>0.35</v>
      </c>
      <c r="D29" s="30" t="n">
        <f aca="false">IF(OR(A29="",A28="",A29=A28),"",(B29-B28)/(A29-A28))</f>
        <v>1.8</v>
      </c>
      <c r="E29" s="26" t="str">
        <f aca="false">IF(OR(B29="",B28="",$B$6=""),"",IF(AND(B28&lt;$B$6,B29&gt;=$B$6),A28+($B$6-B28)/(B29-B28)*(A29-A28),""))</f>
        <v/>
      </c>
    </row>
    <row r="30" customFormat="false" ht="15" hidden="false" customHeight="true" outlineLevel="0" collapsed="false">
      <c r="A30" s="33" t="n">
        <v>0.4</v>
      </c>
      <c r="B30" s="33" t="n">
        <v>1.201</v>
      </c>
      <c r="C30" s="34" t="n">
        <v>0.34</v>
      </c>
      <c r="D30" s="30" t="n">
        <f aca="false">IF(OR(A30="",A29="",A30=A29),"",(B30-B29)/(A30-A29))</f>
        <v>1.65000000000001</v>
      </c>
      <c r="E30" s="26" t="str">
        <f aca="false">IF(OR(B30="",B29="",$B$6=""),"",IF(AND(B29&lt;$B$6,B30&gt;=$B$6),A29+($B$6-B29)/(B30-B29)*(A30-A29),""))</f>
        <v/>
      </c>
    </row>
    <row r="31" customFormat="false" ht="15" hidden="false" customHeight="true" outlineLevel="0" collapsed="false">
      <c r="A31" s="33" t="n">
        <v>0.42</v>
      </c>
      <c r="B31" s="33" t="n">
        <v>1.238</v>
      </c>
      <c r="C31" s="34" t="n">
        <v>0.34</v>
      </c>
      <c r="D31" s="30" t="n">
        <f aca="false">IF(OR(A31="",A30="",A31=A30),"",(B31-B30)/(A31-A30))</f>
        <v>1.85</v>
      </c>
      <c r="E31" s="26" t="str">
        <f aca="false">IF(OR(B31="",B30="",$B$6=""),"",IF(AND(B30&lt;$B$6,B31&gt;=$B$6),A30+($B$6-B30)/(B31-B30)*(A31-A30),""))</f>
        <v/>
      </c>
    </row>
    <row r="32" customFormat="false" ht="15" hidden="false" customHeight="true" outlineLevel="0" collapsed="false">
      <c r="A32" s="33" t="n">
        <v>0.44</v>
      </c>
      <c r="B32" s="33" t="n">
        <v>1.269</v>
      </c>
      <c r="C32" s="34" t="n">
        <v>0.32</v>
      </c>
      <c r="D32" s="30" t="n">
        <f aca="false">IF(OR(A32="",A31="",A32=A31),"",(B32-B31)/(A32-A31))</f>
        <v>1.54999999999999</v>
      </c>
      <c r="E32" s="26" t="str">
        <f aca="false">IF(OR(B32="",B31="",$B$6=""),"",IF(AND(B31&lt;$B$6,B32&gt;=$B$6),A31+($B$6-B31)/(B32-B31)*(A32-A31),""))</f>
        <v/>
      </c>
    </row>
    <row r="33" customFormat="false" ht="15" hidden="false" customHeight="true" outlineLevel="0" collapsed="false">
      <c r="A33" s="33" t="n">
        <v>0.46</v>
      </c>
      <c r="B33" s="33" t="n">
        <v>1.294</v>
      </c>
      <c r="C33" s="34" t="n">
        <v>0.33</v>
      </c>
      <c r="D33" s="30" t="n">
        <f aca="false">IF(OR(A33="",A32="",A33=A32),"",(B33-B32)/(A33-A32))</f>
        <v>1.25000000000001</v>
      </c>
      <c r="E33" s="26" t="str">
        <f aca="false">IF(OR(B33="",B32="",$B$6=""),"",IF(AND(B32&lt;$B$6,B33&gt;=$B$6),A32+($B$6-B32)/(B33-B32)*(A33-A32),""))</f>
        <v/>
      </c>
    </row>
    <row r="34" customFormat="false" ht="15" hidden="false" customHeight="true" outlineLevel="0" collapsed="false">
      <c r="A34" s="33" t="n">
        <v>0.48</v>
      </c>
      <c r="B34" s="33" t="n">
        <v>1.327</v>
      </c>
      <c r="C34" s="34" t="n">
        <v>0.32</v>
      </c>
      <c r="D34" s="30" t="n">
        <f aca="false">IF(OR(A34="",A33="",A34=A33),"",(B34-B33)/(A34-A33))</f>
        <v>1.65</v>
      </c>
      <c r="E34" s="26" t="str">
        <f aca="false">IF(OR(B34="",B33="",$B$6=""),"",IF(AND(B33&lt;$B$6,B34&gt;=$B$6),A33+($B$6-B33)/(B34-B33)*(A34-A33),""))</f>
        <v/>
      </c>
    </row>
    <row r="35" customFormat="false" ht="15" hidden="false" customHeight="true" outlineLevel="0" collapsed="false">
      <c r="A35" s="33" t="n">
        <v>0.5</v>
      </c>
      <c r="B35" s="33" t="n">
        <v>1.351</v>
      </c>
      <c r="C35" s="34" t="n">
        <v>0.31</v>
      </c>
      <c r="D35" s="30" t="n">
        <f aca="false">IF(OR(A35="",A34="",A35=A34),"",(B35-B34)/(A35-A34))</f>
        <v>1.2</v>
      </c>
      <c r="E35" s="26" t="str">
        <f aca="false">IF(OR(B35="",B34="",$B$6=""),"",IF(AND(B34&lt;$B$6,B35&gt;=$B$6),A34+($B$6-B34)/(B35-B34)*(A35-A34),""))</f>
        <v/>
      </c>
    </row>
    <row r="36" customFormat="false" ht="15" hidden="false" customHeight="true" outlineLevel="0" collapsed="false">
      <c r="A36" s="33" t="n">
        <v>0.52</v>
      </c>
      <c r="B36" s="33" t="n">
        <v>1.375</v>
      </c>
      <c r="C36" s="34" t="n">
        <v>0.3</v>
      </c>
      <c r="D36" s="30" t="n">
        <f aca="false">IF(OR(A36="",A35="",A36=A35),"",(B36-B35)/(A36-A35))</f>
        <v>1.2</v>
      </c>
      <c r="E36" s="26" t="str">
        <f aca="false">IF(OR(B36="",B35="",$B$6=""),"",IF(AND(B35&lt;$B$6,B36&gt;=$B$6),A35+($B$6-B35)/(B36-B35)*(A36-A35),""))</f>
        <v/>
      </c>
    </row>
    <row r="37" customFormat="false" ht="15" hidden="false" customHeight="true" outlineLevel="0" collapsed="false">
      <c r="A37" s="33" t="n">
        <v>0.54</v>
      </c>
      <c r="B37" s="33" t="n">
        <v>1.395</v>
      </c>
      <c r="C37" s="34" t="n">
        <v>0.29</v>
      </c>
      <c r="D37" s="30" t="n">
        <f aca="false">IF(OR(A37="",A36="",A37=A36),"",(B37-B36)/(A37-A36))</f>
        <v>1</v>
      </c>
      <c r="E37" s="26" t="str">
        <f aca="false">IF(OR(B37="",B36="",$B$6=""),"",IF(AND(B36&lt;$B$6,B37&gt;=$B$6),A36+($B$6-B36)/(B37-B36)*(A37-A36),""))</f>
        <v/>
      </c>
    </row>
    <row r="38" customFormat="false" ht="15" hidden="false" customHeight="true" outlineLevel="0" collapsed="false">
      <c r="A38" s="33" t="n">
        <v>0.56</v>
      </c>
      <c r="B38" s="33" t="n">
        <v>1.412</v>
      </c>
      <c r="C38" s="34" t="n">
        <v>0.28</v>
      </c>
      <c r="D38" s="30" t="n">
        <f aca="false">IF(OR(A38="",A37="",A38=A37),"",(B38-B37)/(A38-A37))</f>
        <v>0.849999999999994</v>
      </c>
      <c r="E38" s="26" t="str">
        <f aca="false">IF(OR(B38="",B37="",$B$6=""),"",IF(AND(B37&lt;$B$6,B38&gt;=$B$6),A37+($B$6-B37)/(B38-B37)*(A38-A37),""))</f>
        <v/>
      </c>
    </row>
    <row r="39" customFormat="false" ht="15" hidden="false" customHeight="true" outlineLevel="0" collapsed="false">
      <c r="A39" s="33" t="n">
        <v>0.58</v>
      </c>
      <c r="B39" s="33" t="n">
        <v>1.434</v>
      </c>
      <c r="C39" s="34" t="n">
        <v>0.28</v>
      </c>
      <c r="D39" s="30" t="n">
        <f aca="false">IF(OR(A39="",A38="",A39=A38),"",(B39-B38)/(A39-A38))</f>
        <v>1.10000000000001</v>
      </c>
      <c r="E39" s="26" t="str">
        <f aca="false">IF(OR(B39="",B38="",$B$6=""),"",IF(AND(B38&lt;$B$6,B39&gt;=$B$6),A38+($B$6-B38)/(B39-B38)*(A39-A38),""))</f>
        <v/>
      </c>
    </row>
    <row r="40" customFormat="false" ht="15" hidden="false" customHeight="true" outlineLevel="0" collapsed="false">
      <c r="A40" s="33" t="n">
        <v>0.6</v>
      </c>
      <c r="B40" s="33" t="n">
        <v>1.456</v>
      </c>
      <c r="C40" s="34" t="n">
        <v>0.29</v>
      </c>
      <c r="D40" s="30" t="n">
        <f aca="false">IF(OR(A40="",A39="",A40=A39),"",(B40-B39)/(A40-A39))</f>
        <v>1.1</v>
      </c>
      <c r="E40" s="26" t="str">
        <f aca="false">IF(OR(B40="",B39="",$B$6=""),"",IF(AND(B39&lt;$B$6,B40&gt;=$B$6),A39+($B$6-B39)/(B40-B39)*(A40-A39),""))</f>
        <v/>
      </c>
    </row>
    <row r="41" customFormat="false" ht="15" hidden="false" customHeight="true" outlineLevel="0" collapsed="false">
      <c r="A41" s="33" t="n">
        <v>0.62</v>
      </c>
      <c r="B41" s="33" t="n">
        <v>1.471</v>
      </c>
      <c r="C41" s="34" t="n">
        <v>0.29</v>
      </c>
      <c r="D41" s="30" t="n">
        <f aca="false">IF(OR(A41="",A40="",A41=A40),"",(B41-B40)/(A41-A40))</f>
        <v>0.750000000000006</v>
      </c>
      <c r="E41" s="26" t="str">
        <f aca="false">IF(OR(B41="",B40="",$B$6=""),"",IF(AND(B40&lt;$B$6,B41&gt;=$B$6),A40+($B$6-B40)/(B41-B40)*(A41-A40),""))</f>
        <v/>
      </c>
    </row>
    <row r="42" customFormat="false" ht="15" hidden="false" customHeight="true" outlineLevel="0" collapsed="false">
      <c r="A42" s="33" t="n">
        <v>0.64</v>
      </c>
      <c r="B42" s="33" t="n">
        <v>1.491</v>
      </c>
      <c r="C42" s="34" t="n">
        <v>0.28</v>
      </c>
      <c r="D42" s="30" t="n">
        <f aca="false">IF(OR(A42="",A41="",A42=A41),"",(B42-B41)/(A42-A41))</f>
        <v>1</v>
      </c>
      <c r="E42" s="26" t="str">
        <f aca="false">IF(OR(B42="",B41="",$B$6=""),"",IF(AND(B41&lt;$B$6,B42&gt;=$B$6),A41+($B$6-B41)/(B42-B41)*(A42-A41),""))</f>
        <v/>
      </c>
    </row>
    <row r="43" customFormat="false" ht="15" hidden="false" customHeight="true" outlineLevel="0" collapsed="false">
      <c r="A43" s="33" t="n">
        <v>0.66</v>
      </c>
      <c r="B43" s="33" t="n">
        <v>1.501</v>
      </c>
      <c r="C43" s="34" t="n">
        <v>0.26</v>
      </c>
      <c r="D43" s="30" t="n">
        <f aca="false">IF(OR(A43="",A42="",A43=A42),"",(B43-B42)/(A43-A42))</f>
        <v>0.499999999999989</v>
      </c>
      <c r="E43" s="26" t="str">
        <f aca="false">IF(OR(B43="",B42="",$B$6=""),"",IF(AND(B42&lt;$B$6,B43&gt;=$B$6),A42+($B$6-B42)/(B43-B42)*(A43-A42),""))</f>
        <v/>
      </c>
    </row>
    <row r="44" customFormat="false" ht="15" hidden="false" customHeight="true" outlineLevel="0" collapsed="false">
      <c r="A44" s="33" t="n">
        <v>0.68</v>
      </c>
      <c r="B44" s="33" t="n">
        <v>1.514</v>
      </c>
      <c r="C44" s="34" t="n">
        <v>0.26</v>
      </c>
      <c r="D44" s="30" t="n">
        <f aca="false">IF(OR(A44="",A43="",A44=A43),"",(B44-B43)/(A44-A43))</f>
        <v>0.650000000000006</v>
      </c>
      <c r="E44" s="26" t="str">
        <f aca="false">IF(OR(B44="",B43="",$B$6=""),"",IF(AND(B43&lt;$B$6,B44&gt;=$B$6),A43+($B$6-B43)/(B44-B43)*(A44-A43),""))</f>
        <v/>
      </c>
    </row>
    <row r="45" customFormat="false" ht="15" hidden="false" customHeight="true" outlineLevel="0" collapsed="false">
      <c r="A45" s="33" t="n">
        <v>0.7</v>
      </c>
      <c r="B45" s="33" t="n">
        <v>1.527</v>
      </c>
      <c r="C45" s="34" t="n">
        <v>0.26</v>
      </c>
      <c r="D45" s="30" t="n">
        <f aca="false">IF(OR(A45="",A44="",A45=A44),"",(B45-B44)/(A45-A44))</f>
        <v>0.649999999999998</v>
      </c>
      <c r="E45" s="26" t="str">
        <f aca="false">IF(OR(B45="",B44="",$B$6=""),"",IF(AND(B44&lt;$B$6,B45&gt;=$B$6),A44+($B$6-B44)/(B45-B44)*(A45-A44),""))</f>
        <v/>
      </c>
    </row>
    <row r="46" customFormat="false" ht="15" hidden="false" customHeight="true" outlineLevel="0" collapsed="false">
      <c r="A46" s="33" t="n">
        <v>0.72</v>
      </c>
      <c r="B46" s="33" t="n">
        <v>1.545</v>
      </c>
      <c r="C46" s="34" t="n">
        <v>0.26</v>
      </c>
      <c r="D46" s="30" t="n">
        <f aca="false">IF(OR(A46="",A45="",A46=A45),"",(B46-B45)/(A46-A45))</f>
        <v>0.9</v>
      </c>
      <c r="E46" s="26" t="str">
        <f aca="false">IF(OR(B46="",B45="",$B$6=""),"",IF(AND(B45&lt;$B$6,B46&gt;=$B$6),A45+($B$6-B45)/(B46-B45)*(A46-A45),""))</f>
        <v/>
      </c>
    </row>
    <row r="47" customFormat="false" ht="15" hidden="false" customHeight="true" outlineLevel="0" collapsed="false">
      <c r="A47" s="33" t="n">
        <v>0.74</v>
      </c>
      <c r="B47" s="33" t="n">
        <v>1.553</v>
      </c>
      <c r="C47" s="34" t="n">
        <v>0.26</v>
      </c>
      <c r="D47" s="30" t="n">
        <f aca="false">IF(OR(A47="",A46="",A47=A46),"",(B47-B46)/(A47-A46))</f>
        <v>0.4</v>
      </c>
      <c r="E47" s="26" t="str">
        <f aca="false">IF(OR(B47="",B46="",$B$6=""),"",IF(AND(B46&lt;$B$6,B47&gt;=$B$6),A46+($B$6-B46)/(B47-B46)*(A47-A46),""))</f>
        <v/>
      </c>
    </row>
    <row r="48" customFormat="false" ht="15" hidden="false" customHeight="true" outlineLevel="0" collapsed="false">
      <c r="A48" s="33" t="n">
        <v>0.76</v>
      </c>
      <c r="B48" s="33" t="n">
        <v>1.566</v>
      </c>
      <c r="C48" s="34" t="n">
        <v>0.24</v>
      </c>
      <c r="D48" s="30" t="n">
        <f aca="false">IF(OR(A48="",A47="",A48=A47),"",(B48-B47)/(A48-A47))</f>
        <v>0.650000000000006</v>
      </c>
      <c r="E48" s="26" t="str">
        <f aca="false">IF(OR(B48="",B47="",$B$6=""),"",IF(AND(B47&lt;$B$6,B48&gt;=$B$6),A47+($B$6-B47)/(B48-B47)*(A48-A47),""))</f>
        <v/>
      </c>
    </row>
    <row r="49" customFormat="false" ht="15" hidden="false" customHeight="true" outlineLevel="0" collapsed="false">
      <c r="A49" s="33" t="n">
        <v>0.78</v>
      </c>
      <c r="B49" s="33" t="n">
        <v>1.575</v>
      </c>
      <c r="C49" s="34" t="n">
        <v>0.26</v>
      </c>
      <c r="D49" s="30" t="n">
        <f aca="false">IF(OR(A49="",A48="",A49=A48),"",(B49-B48)/(A49-A48))</f>
        <v>0.449999999999994</v>
      </c>
      <c r="E49" s="26" t="str">
        <f aca="false">IF(OR(B49="",B48="",$B$6=""),"",IF(AND(B48&lt;$B$6,B49&gt;=$B$6),A48+($B$6-B48)/(B49-B48)*(A49-A48),""))</f>
        <v/>
      </c>
    </row>
    <row r="50" customFormat="false" ht="15" hidden="false" customHeight="true" outlineLevel="0" collapsed="false">
      <c r="A50" s="33" t="n">
        <v>0.8</v>
      </c>
      <c r="B50" s="33" t="n">
        <v>1.586</v>
      </c>
      <c r="C50" s="34" t="n">
        <v>0.25</v>
      </c>
      <c r="D50" s="30" t="n">
        <f aca="false">IF(OR(A50="",A49="",A50=A49),"",(B50-B49)/(A50-A49))</f>
        <v>0.550000000000006</v>
      </c>
      <c r="E50" s="26" t="str">
        <f aca="false">IF(OR(B50="",B49="",$B$6=""),"",IF(AND(B49&lt;$B$6,B50&gt;=$B$6),A49+($B$6-B49)/(B50-B49)*(A50-A49),""))</f>
        <v/>
      </c>
    </row>
    <row r="51" customFormat="false" ht="15" hidden="false" customHeight="true" outlineLevel="0" collapsed="false">
      <c r="A51" s="33" t="n">
        <v>0.82</v>
      </c>
      <c r="B51" s="33" t="n">
        <v>1.592</v>
      </c>
      <c r="C51" s="34" t="n">
        <v>0.24</v>
      </c>
      <c r="D51" s="30" t="n">
        <f aca="false">IF(OR(A51="",A50="",A51=A50),"",(B51-B50)/(A51-A50))</f>
        <v>0.300000000000002</v>
      </c>
      <c r="E51" s="26" t="str">
        <f aca="false">IF(OR(B51="",B50="",$B$6=""),"",IF(AND(B50&lt;$B$6,B51&gt;=$B$6),A50+($B$6-B50)/(B51-B50)*(A51-A50),""))</f>
        <v/>
      </c>
    </row>
    <row r="52" customFormat="false" ht="15" hidden="false" customHeight="true" outlineLevel="0" collapsed="false">
      <c r="A52" s="33" t="n">
        <v>0.84</v>
      </c>
      <c r="B52" s="33" t="n">
        <v>1.603</v>
      </c>
      <c r="C52" s="34" t="n">
        <v>0.24</v>
      </c>
      <c r="D52" s="30" t="n">
        <f aca="false">IF(OR(A52="",A51="",A52=A51),"",(B52-B51)/(A52-A51))</f>
        <v>0.549999999999995</v>
      </c>
      <c r="E52" s="26" t="str">
        <f aca="false">IF(OR(B52="",B51="",$B$6=""),"",IF(AND(B51&lt;$B$6,B52&gt;=$B$6),A51+($B$6-B51)/(B52-B51)*(A52-A51),""))</f>
        <v/>
      </c>
    </row>
    <row r="53" customFormat="false" ht="15" hidden="false" customHeight="true" outlineLevel="0" collapsed="false">
      <c r="A53" s="33" t="n">
        <v>0.86</v>
      </c>
      <c r="B53" s="33" t="n">
        <v>1.611</v>
      </c>
      <c r="C53" s="34" t="n">
        <v>0.25</v>
      </c>
      <c r="D53" s="30" t="n">
        <f aca="false">IF(OR(A53="",A52="",A53=A52),"",(B53-B52)/(A53-A52))</f>
        <v>0.4</v>
      </c>
      <c r="E53" s="26" t="str">
        <f aca="false">IF(OR(B53="",B52="",$B$6=""),"",IF(AND(B52&lt;$B$6,B53&gt;=$B$6),A52+($B$6-B52)/(B53-B52)*(A53-A52),""))</f>
        <v/>
      </c>
    </row>
    <row r="54" customFormat="false" ht="15" hidden="false" customHeight="true" outlineLevel="0" collapsed="false">
      <c r="A54" s="33" t="n">
        <v>0.88</v>
      </c>
      <c r="B54" s="33" t="n">
        <v>1.615</v>
      </c>
      <c r="C54" s="34" t="n">
        <v>0.23</v>
      </c>
      <c r="D54" s="30" t="n">
        <f aca="false">IF(OR(A54="",A53="",A54=A53),"",(B54-B53)/(A54-A53))</f>
        <v>0.2</v>
      </c>
      <c r="E54" s="26" t="str">
        <f aca="false">IF(OR(B54="",B53="",$B$6=""),"",IF(AND(B53&lt;$B$6,B54&gt;=$B$6),A53+($B$6-B53)/(B54-B53)*(A54-A53),""))</f>
        <v/>
      </c>
    </row>
    <row r="55" customFormat="false" ht="15" hidden="false" customHeight="true" outlineLevel="0" collapsed="false">
      <c r="A55" s="33" t="n">
        <v>0.9</v>
      </c>
      <c r="B55" s="33" t="n">
        <v>1.626</v>
      </c>
      <c r="C55" s="34" t="n">
        <v>0.24</v>
      </c>
      <c r="D55" s="30" t="n">
        <f aca="false">IF(OR(A55="",A54="",A55=A54),"",(B55-B54)/(A55-A54))</f>
        <v>0.549999999999995</v>
      </c>
      <c r="E55" s="26" t="str">
        <f aca="false">IF(OR(B55="",B54="",$B$6=""),"",IF(AND(B54&lt;$B$6,B55&gt;=$B$6),A54+($B$6-B54)/(B55-B54)*(A55-A54),""))</f>
        <v/>
      </c>
    </row>
    <row r="56" customFormat="false" ht="15" hidden="false" customHeight="true" outlineLevel="0" collapsed="false">
      <c r="A56" s="33" t="n">
        <v>0.92</v>
      </c>
      <c r="B56" s="33" t="n">
        <v>1.626</v>
      </c>
      <c r="C56" s="34" t="n">
        <v>0.22</v>
      </c>
      <c r="D56" s="30" t="n">
        <f aca="false">IF(OR(A56="",A55="",A56=A55),"",(B56-B55)/(A56-A55))</f>
        <v>0</v>
      </c>
      <c r="E56" s="26" t="str">
        <f aca="false">IF(OR(B56="",B55="",$B$6=""),"",IF(AND(B55&lt;$B$6,B56&gt;=$B$6),A55+($B$6-B55)/(B56-B55)*(A56-A55),""))</f>
        <v/>
      </c>
    </row>
    <row r="57" customFormat="false" ht="15" hidden="false" customHeight="true" outlineLevel="0" collapsed="false">
      <c r="A57" s="33" t="n">
        <v>0.94</v>
      </c>
      <c r="B57" s="33" t="n">
        <v>1.632</v>
      </c>
      <c r="C57" s="34" t="n">
        <v>0.24</v>
      </c>
      <c r="D57" s="30" t="n">
        <f aca="false">IF(OR(A57="",A56="",A57=A56),"",(B57-B56)/(A57-A56))</f>
        <v>0.300000000000002</v>
      </c>
      <c r="E57" s="26" t="str">
        <f aca="false">IF(OR(B57="",B56="",$B$6=""),"",IF(AND(B56&lt;$B$6,B57&gt;=$B$6),A56+($B$6-B56)/(B57-B56)*(A57-A56),""))</f>
        <v/>
      </c>
    </row>
    <row r="58" customFormat="false" ht="15" hidden="false" customHeight="true" outlineLevel="0" collapsed="false">
      <c r="A58" s="33" t="n">
        <v>0.96</v>
      </c>
      <c r="B58" s="33" t="n">
        <v>1.642</v>
      </c>
      <c r="C58" s="34" t="n">
        <v>0.22</v>
      </c>
      <c r="D58" s="30" t="n">
        <f aca="false">IF(OR(A58="",A57="",A58=A57),"",(B58-B57)/(A58-A57))</f>
        <v>0.5</v>
      </c>
      <c r="E58" s="26" t="str">
        <f aca="false">IF(OR(B58="",B57="",$B$6=""),"",IF(AND(B57&lt;$B$6,B58&gt;=$B$6),A57+($B$6-B57)/(B58-B57)*(A58-A57),""))</f>
        <v/>
      </c>
    </row>
    <row r="59" customFormat="false" ht="15" hidden="false" customHeight="true" outlineLevel="0" collapsed="false">
      <c r="A59" s="33" t="n">
        <v>0.98</v>
      </c>
      <c r="B59" s="33" t="n">
        <v>1.648</v>
      </c>
      <c r="C59" s="34" t="n">
        <v>0.24</v>
      </c>
      <c r="D59" s="30" t="n">
        <f aca="false">IF(OR(A59="",A58="",A59=A58),"",(B59-B58)/(A59-A58))</f>
        <v>0.3</v>
      </c>
      <c r="E59" s="26" t="str">
        <f aca="false">IF(OR(B59="",B58="",$B$6=""),"",IF(AND(B58&lt;$B$6,B59&gt;=$B$6),A58+($B$6-B58)/(B59-B58)*(A59-A58),""))</f>
        <v/>
      </c>
    </row>
    <row r="60" customFormat="false" ht="15" hidden="false" customHeight="true" outlineLevel="0" collapsed="false">
      <c r="A60" s="33" t="n">
        <v>1</v>
      </c>
      <c r="B60" s="33" t="n">
        <v>1.651</v>
      </c>
      <c r="C60" s="34" t="n">
        <v>0.22</v>
      </c>
      <c r="D60" s="30" t="n">
        <f aca="false">IF(OR(A60="",A59="",A60=A59),"",(B60-B59)/(A60-A59))</f>
        <v>0.150000000000006</v>
      </c>
      <c r="E60" s="26" t="str">
        <f aca="false">IF(OR(B60="",B59="",$B$6=""),"",IF(AND(B59&lt;$B$6,B60&gt;=$B$6),A59+($B$6-B59)/(B60-B59)*(A60-A59),""))</f>
        <v/>
      </c>
    </row>
    <row r="61" customFormat="false" ht="15" hidden="false" customHeight="true" outlineLevel="0" collapsed="false">
      <c r="A61" s="33" t="n">
        <v>1.02</v>
      </c>
      <c r="B61" s="33" t="n">
        <v>1.655</v>
      </c>
      <c r="C61" s="34" t="n">
        <v>0.22</v>
      </c>
      <c r="D61" s="30" t="n">
        <f aca="false">IF(OR(A61="",A60="",A61=A60),"",(B61-B60)/(A61-A60))</f>
        <v>0.2</v>
      </c>
      <c r="E61" s="26" t="str">
        <f aca="false">IF(OR(B61="",B60="",$B$6=""),"",IF(AND(B60&lt;$B$6,B61&gt;=$B$6),A60+($B$6-B60)/(B61-B60)*(A61-A60),""))</f>
        <v/>
      </c>
    </row>
    <row r="62" customFormat="false" ht="15" hidden="false" customHeight="true" outlineLevel="0" collapsed="false">
      <c r="A62" s="33" t="n">
        <v>1.04</v>
      </c>
      <c r="B62" s="33" t="n">
        <v>1.655</v>
      </c>
      <c r="C62" s="34" t="n">
        <v>0.23</v>
      </c>
      <c r="D62" s="30" t="n">
        <f aca="false">IF(OR(A62="",A61="",A62=A61),"",(B62-B61)/(A62-A61))</f>
        <v>0</v>
      </c>
      <c r="E62" s="26" t="str">
        <f aca="false">IF(OR(B62="",B61="",$B$6=""),"",IF(AND(B61&lt;$B$6,B62&gt;=$B$6),A61+($B$6-B61)/(B62-B61)*(A62-A61),""))</f>
        <v/>
      </c>
    </row>
    <row r="63" customFormat="false" ht="15" hidden="false" customHeight="true" outlineLevel="0" collapsed="false">
      <c r="A63" s="33" t="n">
        <v>1.06</v>
      </c>
      <c r="B63" s="33" t="n">
        <v>1.664</v>
      </c>
      <c r="C63" s="34" t="n">
        <v>0.22</v>
      </c>
      <c r="D63" s="30" t="n">
        <f aca="false">IF(OR(A63="",A62="",A63=A62),"",(B63-B62)/(A63-A62))</f>
        <v>0.449999999999994</v>
      </c>
      <c r="E63" s="26" t="str">
        <f aca="false">IF(OR(B63="",B62="",$B$6=""),"",IF(AND(B62&lt;$B$6,B63&gt;=$B$6),A62+($B$6-B62)/(B63-B62)*(A63-A62),""))</f>
        <v/>
      </c>
    </row>
    <row r="64" customFormat="false" ht="15" hidden="false" customHeight="true" outlineLevel="0" collapsed="false">
      <c r="A64" s="33" t="n">
        <v>1.08</v>
      </c>
      <c r="B64" s="33" t="n">
        <v>1.67</v>
      </c>
      <c r="C64" s="34" t="n">
        <v>0.22</v>
      </c>
      <c r="D64" s="30" t="n">
        <f aca="false">IF(OR(A64="",A63="",A64=A63),"",(B64-B63)/(A64-A63))</f>
        <v>0.3</v>
      </c>
      <c r="E64" s="26" t="str">
        <f aca="false">IF(OR(B64="",B63="",$B$6=""),"",IF(AND(B63&lt;$B$6,B64&gt;=$B$6),A63+($B$6-B63)/(B64-B63)*(A64-A63),""))</f>
        <v/>
      </c>
    </row>
    <row r="65" customFormat="false" ht="15" hidden="false" customHeight="true" outlineLevel="0" collapsed="false">
      <c r="A65" s="33" t="n">
        <v>1.1</v>
      </c>
      <c r="B65" s="33" t="n">
        <v>1.673</v>
      </c>
      <c r="C65" s="34" t="n">
        <v>0.23</v>
      </c>
      <c r="D65" s="30" t="n">
        <f aca="false">IF(OR(A65="",A64="",A65=A64),"",(B65-B64)/(A65-A64))</f>
        <v>0.150000000000006</v>
      </c>
      <c r="E65" s="26" t="str">
        <f aca="false">IF(OR(B65="",B64="",$B$6=""),"",IF(AND(B64&lt;$B$6,B65&gt;=$B$6),A64+($B$6-B64)/(B65-B64)*(A65-A64),""))</f>
        <v/>
      </c>
    </row>
    <row r="66" customFormat="false" ht="15" hidden="false" customHeight="true" outlineLevel="0" collapsed="false">
      <c r="A66" s="33" t="n">
        <v>1.12</v>
      </c>
      <c r="B66" s="33" t="n">
        <v>1.671</v>
      </c>
      <c r="C66" s="34" t="n">
        <v>0.21</v>
      </c>
      <c r="D66" s="30" t="n">
        <f aca="false">IF(OR(A66="",A65="",A66=A65),"",(B66-B65)/(A66-A65))</f>
        <v>-0.1</v>
      </c>
      <c r="E66" s="26" t="str">
        <f aca="false">IF(OR(B66="",B65="",$B$6=""),"",IF(AND(B65&lt;$B$6,B66&gt;=$B$6),A65+($B$6-B65)/(B66-B65)*(A66-A65),""))</f>
        <v/>
      </c>
    </row>
    <row r="67" customFormat="false" ht="15" hidden="false" customHeight="true" outlineLevel="0" collapsed="false">
      <c r="A67" s="33" t="n">
        <v>1.14</v>
      </c>
      <c r="B67" s="33" t="n">
        <v>1.674</v>
      </c>
      <c r="C67" s="34" t="n">
        <v>0.21</v>
      </c>
      <c r="D67" s="30" t="n">
        <f aca="false">IF(OR(A67="",A66="",A67=A66),"",(B67-B66)/(A67-A66))</f>
        <v>0.149999999999996</v>
      </c>
      <c r="E67" s="26" t="str">
        <f aca="false">IF(OR(B67="",B66="",$B$6=""),"",IF(AND(B66&lt;$B$6,B67&gt;=$B$6),A66+($B$6-B66)/(B67-B66)*(A67-A66),""))</f>
        <v/>
      </c>
    </row>
    <row r="68" customFormat="false" ht="15" hidden="false" customHeight="true" outlineLevel="0" collapsed="false">
      <c r="A68" s="33" t="n">
        <v>1.16</v>
      </c>
      <c r="B68" s="33" t="n">
        <v>1.68</v>
      </c>
      <c r="C68" s="34" t="n">
        <v>0.21</v>
      </c>
      <c r="D68" s="30" t="n">
        <f aca="false">IF(OR(A68="",A67="",A68=A67),"",(B68-B67)/(A68-A67))</f>
        <v>0.3</v>
      </c>
      <c r="E68" s="26" t="str">
        <f aca="false">IF(OR(B68="",B67="",$B$6=""),"",IF(AND(B67&lt;$B$6,B68&gt;=$B$6),A67+($B$6-B67)/(B68-B67)*(A68-A67),""))</f>
        <v/>
      </c>
    </row>
    <row r="69" customFormat="false" ht="15" hidden="false" customHeight="true" outlineLevel="0" collapsed="false">
      <c r="A69" s="33" t="n">
        <v>1.18</v>
      </c>
      <c r="B69" s="33" t="n">
        <v>1.681</v>
      </c>
      <c r="C69" s="34" t="n">
        <v>0.21</v>
      </c>
      <c r="D69" s="30" t="n">
        <f aca="false">IF(OR(A69="",A68="",A69=A68),"",(B69-B68)/(A69-A68))</f>
        <v>0.0500000000000056</v>
      </c>
      <c r="E69" s="26" t="str">
        <f aca="false">IF(OR(B69="",B68="",$B$6=""),"",IF(AND(B68&lt;$B$6,B69&gt;=$B$6),A68+($B$6-B68)/(B69-B68)*(A69-A68),""))</f>
        <v/>
      </c>
    </row>
    <row r="70" customFormat="false" ht="15" hidden="false" customHeight="true" outlineLevel="0" collapsed="false">
      <c r="A70" s="33" t="n">
        <v>1.2</v>
      </c>
      <c r="B70" s="33" t="n">
        <v>1.687</v>
      </c>
      <c r="C70" s="34" t="n">
        <v>0.21</v>
      </c>
      <c r="D70" s="30" t="n">
        <f aca="false">IF(OR(A70="",A69="",A70=A69),"",(B70-B69)/(A70-A69))</f>
        <v>0.3</v>
      </c>
      <c r="E70" s="26" t="str">
        <f aca="false">IF(OR(B70="",B69="",$B$6=""),"",IF(AND(B69&lt;$B$6,B70&gt;=$B$6),A69+($B$6-B69)/(B70-B69)*(A70-A69),""))</f>
        <v/>
      </c>
    </row>
    <row r="71" customFormat="false" ht="15" hidden="false" customHeight="true" outlineLevel="0" collapsed="false">
      <c r="A71" s="33" t="n">
        <v>1.22</v>
      </c>
      <c r="B71" s="33" t="n">
        <v>1.686</v>
      </c>
      <c r="C71" s="34" t="n">
        <v>0.22</v>
      </c>
      <c r="D71" s="30" t="n">
        <f aca="false">IF(OR(A71="",A70="",A71=A70),"",(B71-B70)/(A71-A70))</f>
        <v>-0.0500000000000056</v>
      </c>
      <c r="E71" s="26" t="str">
        <f aca="false">IF(OR(B71="",B70="",$B$6=""),"",IF(AND(B70&lt;$B$6,B71&gt;=$B$6),A70+($B$6-B70)/(B71-B70)*(A71-A70),""))</f>
        <v/>
      </c>
    </row>
    <row r="72" customFormat="false" ht="15" hidden="false" customHeight="true" outlineLevel="0" collapsed="false">
      <c r="A72" s="33" t="n">
        <v>1.24</v>
      </c>
      <c r="B72" s="33" t="n">
        <v>1.692</v>
      </c>
      <c r="C72" s="34" t="n">
        <v>0.21</v>
      </c>
      <c r="D72" s="30" t="n">
        <f aca="false">IF(OR(A72="",A71="",A72=A71),"",(B72-B71)/(A72-A71))</f>
        <v>0.3</v>
      </c>
      <c r="E72" s="26" t="str">
        <f aca="false">IF(OR(B72="",B71="",$B$6=""),"",IF(AND(B71&lt;$B$6,B72&gt;=$B$6),A71+($B$6-B71)/(B72-B71)*(A72-A71),""))</f>
        <v/>
      </c>
    </row>
    <row r="73" customFormat="false" ht="15" hidden="false" customHeight="true" outlineLevel="0" collapsed="false">
      <c r="A73" s="33" t="n">
        <v>1.26</v>
      </c>
      <c r="B73" s="33" t="n">
        <v>1.694</v>
      </c>
      <c r="C73" s="34" t="n">
        <v>0.21</v>
      </c>
      <c r="D73" s="30" t="n">
        <f aca="false">IF(OR(A73="",A72="",A73=A72),"",(B73-B72)/(A73-A72))</f>
        <v>0.1</v>
      </c>
      <c r="E73" s="26" t="str">
        <f aca="false">IF(OR(B73="",B72="",$B$6=""),"",IF(AND(B72&lt;$B$6,B73&gt;=$B$6),A72+($B$6-B72)/(B73-B72)*(A73-A72),""))</f>
        <v/>
      </c>
    </row>
    <row r="74" customFormat="false" ht="15" hidden="false" customHeight="true" outlineLevel="0" collapsed="false">
      <c r="A74" s="33" t="n">
        <v>1.28</v>
      </c>
      <c r="B74" s="33" t="n">
        <v>1.693</v>
      </c>
      <c r="C74" s="34" t="n">
        <v>0.21</v>
      </c>
      <c r="D74" s="30" t="n">
        <f aca="false">IF(OR(A74="",A73="",A74=A73),"",(B74-B73)/(A74-A73))</f>
        <v>-0.0499999999999945</v>
      </c>
      <c r="E74" s="26" t="str">
        <f aca="false">IF(OR(B74="",B73="",$B$6=""),"",IF(AND(B73&lt;$B$6,B74&gt;=$B$6),A73+($B$6-B73)/(B74-B73)*(A74-A73),""))</f>
        <v/>
      </c>
    </row>
    <row r="75" customFormat="false" ht="15" hidden="false" customHeight="true" outlineLevel="0" collapsed="false">
      <c r="A75" s="33" t="n">
        <v>1.3</v>
      </c>
      <c r="B75" s="33" t="n">
        <v>1.69</v>
      </c>
      <c r="C75" s="34" t="n">
        <v>0.21</v>
      </c>
      <c r="D75" s="30" t="n">
        <f aca="false">IF(OR(A75="",A74="",A75=A74),"",(B75-B74)/(A75-A74))</f>
        <v>-0.150000000000006</v>
      </c>
      <c r="E75" s="26" t="str">
        <f aca="false">IF(OR(B75="",B74="",$B$6=""),"",IF(AND(B74&lt;$B$6,B75&gt;=$B$6),A74+($B$6-B74)/(B75-B74)*(A75-A74),""))</f>
        <v/>
      </c>
    </row>
    <row r="76" customFormat="false" ht="15" hidden="false" customHeight="true" outlineLevel="0" collapsed="false">
      <c r="A76" s="33" t="n">
        <v>1.32</v>
      </c>
      <c r="B76" s="33" t="n">
        <v>1.693</v>
      </c>
      <c r="C76" s="34" t="n">
        <v>0.2</v>
      </c>
      <c r="D76" s="30" t="n">
        <f aca="false">IF(OR(A76="",A75="",A76=A75),"",(B76-B75)/(A76-A75))</f>
        <v>0.150000000000006</v>
      </c>
      <c r="E76" s="26" t="str">
        <f aca="false">IF(OR(B76="",B75="",$B$6=""),"",IF(AND(B75&lt;$B$6,B76&gt;=$B$6),A75+($B$6-B75)/(B76-B75)*(A76-A75),""))</f>
        <v/>
      </c>
    </row>
    <row r="77" customFormat="false" ht="15" hidden="false" customHeight="true" outlineLevel="0" collapsed="false">
      <c r="A77" s="33" t="n">
        <v>1.34</v>
      </c>
      <c r="B77" s="33" t="n">
        <v>1.7</v>
      </c>
      <c r="C77" s="34" t="n">
        <v>0.2</v>
      </c>
      <c r="D77" s="30" t="n">
        <f aca="false">IF(OR(A77="",A76="",A77=A76),"",(B77-B76)/(A77-A76))</f>
        <v>0.349999999999994</v>
      </c>
      <c r="E77" s="26" t="str">
        <f aca="false">IF(OR(B77="",B76="",$B$6=""),"",IF(AND(B76&lt;$B$6,B77&gt;=$B$6),A76+($B$6-B76)/(B77-B76)*(A77-A76),""))</f>
        <v/>
      </c>
    </row>
    <row r="78" customFormat="false" ht="15" hidden="false" customHeight="true" outlineLevel="0" collapsed="false">
      <c r="A78" s="33" t="n">
        <v>1.36</v>
      </c>
      <c r="B78" s="33" t="n">
        <v>1.699</v>
      </c>
      <c r="C78" s="34" t="n">
        <v>0.21</v>
      </c>
      <c r="D78" s="30" t="n">
        <f aca="false">IF(OR(A78="",A77="",A78=A77),"",(B78-B77)/(A78-A77))</f>
        <v>-0.0499999999999945</v>
      </c>
      <c r="E78" s="26" t="str">
        <f aca="false">IF(OR(B78="",B77="",$B$6=""),"",IF(AND(B77&lt;$B$6,B78&gt;=$B$6),A77+($B$6-B77)/(B78-B77)*(A78-A77),""))</f>
        <v/>
      </c>
    </row>
    <row r="79" customFormat="false" ht="15" hidden="false" customHeight="true" outlineLevel="0" collapsed="false">
      <c r="A79" s="33" t="n">
        <v>1.38</v>
      </c>
      <c r="B79" s="33" t="n">
        <v>1.701</v>
      </c>
      <c r="C79" s="34" t="n">
        <v>0.21</v>
      </c>
      <c r="D79" s="30" t="n">
        <f aca="false">IF(OR(A79="",A78="",A79=A78),"",(B79-B78)/(A79-A78))</f>
        <v>0.100000000000001</v>
      </c>
      <c r="E79" s="26" t="str">
        <f aca="false">IF(OR(B79="",B78="",$B$6=""),"",IF(AND(B78&lt;$B$6,B79&gt;=$B$6),A78+($B$6-B78)/(B79-B78)*(A79-A78),""))</f>
        <v/>
      </c>
    </row>
    <row r="80" customFormat="false" ht="15" hidden="false" customHeight="true" outlineLevel="0" collapsed="false">
      <c r="A80" s="33" t="n">
        <v>1.4</v>
      </c>
      <c r="B80" s="33" t="n">
        <v>1.702</v>
      </c>
      <c r="C80" s="34" t="n">
        <v>0.21</v>
      </c>
      <c r="D80" s="30" t="n">
        <f aca="false">IF(OR(A80="",A79="",A80=A79),"",(B80-B79)/(A80-A79))</f>
        <v>0.0499999999999945</v>
      </c>
      <c r="E80" s="26" t="str">
        <f aca="false">IF(OR(B80="",B79="",$B$6=""),"",IF(AND(B79&lt;$B$6,B80&gt;=$B$6),A79+($B$6-B79)/(B80-B79)*(A80-A79),""))</f>
        <v/>
      </c>
    </row>
    <row r="81" customFormat="false" ht="15" hidden="false" customHeight="true" outlineLevel="0" collapsed="false">
      <c r="A81" s="33" t="n">
        <v>1.42</v>
      </c>
      <c r="B81" s="33" t="n">
        <v>1.705</v>
      </c>
      <c r="C81" s="34" t="n">
        <v>0.2</v>
      </c>
      <c r="D81" s="30" t="n">
        <f aca="false">IF(OR(A81="",A80="",A81=A80),"",(B81-B80)/(A81-A80))</f>
        <v>0.150000000000006</v>
      </c>
      <c r="E81" s="26" t="str">
        <f aca="false">IF(OR(B81="",B80="",$B$6=""),"",IF(AND(B80&lt;$B$6,B81&gt;=$B$6),A80+($B$6-B80)/(B81-B80)*(A81-A80),""))</f>
        <v/>
      </c>
    </row>
    <row r="82" customFormat="false" ht="15" hidden="false" customHeight="true" outlineLevel="0" collapsed="false">
      <c r="A82" s="33" t="n">
        <v>1.44</v>
      </c>
      <c r="B82" s="33" t="n">
        <v>1.704</v>
      </c>
      <c r="C82" s="34" t="n">
        <v>0.2</v>
      </c>
      <c r="D82" s="30" t="n">
        <f aca="false">IF(OR(A82="",A81="",A82=A81),"",(B82-B81)/(A82-A81))</f>
        <v>-0.0500000000000056</v>
      </c>
      <c r="E82" s="26" t="str">
        <f aca="false">IF(OR(B82="",B81="",$B$6=""),"",IF(AND(B81&lt;$B$6,B82&gt;=$B$6),A81+($B$6-B81)/(B82-B81)*(A82-A81),""))</f>
        <v/>
      </c>
    </row>
    <row r="83" customFormat="false" ht="15" hidden="false" customHeight="true" outlineLevel="0" collapsed="false">
      <c r="A83" s="33" t="n">
        <v>1.46</v>
      </c>
      <c r="B83" s="33" t="n">
        <v>1.703</v>
      </c>
      <c r="C83" s="34" t="n">
        <v>0.21</v>
      </c>
      <c r="D83" s="30" t="n">
        <f aca="false">IF(OR(A83="",A82="",A83=A82),"",(B83-B82)/(A83-A82))</f>
        <v>-0.0499999999999945</v>
      </c>
      <c r="E83" s="26" t="str">
        <f aca="false">IF(OR(B83="",B82="",$B$6=""),"",IF(AND(B82&lt;$B$6,B83&gt;=$B$6),A82+($B$6-B82)/(B83-B82)*(A83-A82),""))</f>
        <v/>
      </c>
    </row>
    <row r="84" customFormat="false" ht="15" hidden="false" customHeight="true" outlineLevel="0" collapsed="false">
      <c r="A84" s="33" t="n">
        <v>1.48</v>
      </c>
      <c r="B84" s="33" t="n">
        <v>1.706</v>
      </c>
      <c r="C84" s="34" t="n">
        <v>0.21</v>
      </c>
      <c r="D84" s="30" t="n">
        <f aca="false">IF(OR(A84="",A83="",A84=A83),"",(B84-B83)/(A84-A83))</f>
        <v>0.149999999999994</v>
      </c>
      <c r="E84" s="26" t="str">
        <f aca="false">IF(OR(B84="",B83="",$B$6=""),"",IF(AND(B83&lt;$B$6,B84&gt;=$B$6),A83+($B$6-B83)/(B84-B83)*(A84-A83),""))</f>
        <v/>
      </c>
    </row>
    <row r="85" customFormat="false" ht="15" hidden="false" customHeight="true" outlineLevel="0" collapsed="false">
      <c r="A85" s="33" t="n">
        <v>1.5</v>
      </c>
      <c r="B85" s="33" t="n">
        <v>1.709</v>
      </c>
      <c r="C85" s="34" t="n">
        <v>0.21</v>
      </c>
      <c r="D85" s="30" t="n">
        <f aca="false">IF(OR(A85="",A84="",A85=A84),"",(B85-B84)/(A85-A84))</f>
        <v>0.150000000000006</v>
      </c>
      <c r="E85" s="26" t="str">
        <f aca="false">IF(OR(B85="",B84="",$B$6=""),"",IF(AND(B84&lt;$B$6,B85&gt;=$B$6),A84+($B$6-B84)/(B85-B84)*(A85-A84),""))</f>
        <v/>
      </c>
    </row>
    <row r="86" customFormat="false" ht="15" hidden="false" customHeight="true" outlineLevel="0" collapsed="false">
      <c r="A86" s="33" t="n">
        <v>1.52</v>
      </c>
      <c r="B86" s="33" t="n">
        <v>1.707</v>
      </c>
      <c r="C86" s="34" t="n">
        <v>0.21</v>
      </c>
      <c r="D86" s="30" t="n">
        <f aca="false">IF(OR(A86="",A85="",A86=A85),"",(B86-B85)/(A86-A85))</f>
        <v>-0.1</v>
      </c>
      <c r="E86" s="26" t="str">
        <f aca="false">IF(OR(B86="",B85="",$B$6=""),"",IF(AND(B85&lt;$B$6,B86&gt;=$B$6),A85+($B$6-B85)/(B86-B85)*(A86-A85),""))</f>
        <v/>
      </c>
    </row>
    <row r="87" customFormat="false" ht="15" hidden="false" customHeight="true" outlineLevel="0" collapsed="false">
      <c r="A87" s="33" t="n">
        <v>1.54</v>
      </c>
      <c r="B87" s="33" t="n">
        <v>1.708</v>
      </c>
      <c r="C87" s="34" t="n">
        <v>0.21</v>
      </c>
      <c r="D87" s="30" t="n">
        <f aca="false">IF(OR(A87="",A86="",A87=A86),"",(B87-B86)/(A87-A86))</f>
        <v>0.0499999999999945</v>
      </c>
      <c r="E87" s="26" t="str">
        <f aca="false">IF(OR(B87="",B86="",$B$6=""),"",IF(AND(B86&lt;$B$6,B87&gt;=$B$6),A86+($B$6-B86)/(B87-B86)*(A87-A86),""))</f>
        <v/>
      </c>
    </row>
    <row r="88" customFormat="false" ht="15" hidden="false" customHeight="true" outlineLevel="0" collapsed="false">
      <c r="A88" s="33" t="n">
        <v>1.56</v>
      </c>
      <c r="B88" s="33" t="n">
        <v>1.711</v>
      </c>
      <c r="C88" s="34" t="n">
        <v>0.2</v>
      </c>
      <c r="D88" s="30" t="n">
        <f aca="false">IF(OR(A88="",A87="",A88=A87),"",(B88-B87)/(A88-A87))</f>
        <v>0.150000000000006</v>
      </c>
      <c r="E88" s="26" t="str">
        <f aca="false">IF(OR(B88="",B87="",$B$6=""),"",IF(AND(B87&lt;$B$6,B88&gt;=$B$6),A87+($B$6-B87)/(B88-B87)*(A88-A87),""))</f>
        <v/>
      </c>
    </row>
    <row r="89" customFormat="false" ht="15" hidden="false" customHeight="true" outlineLevel="0" collapsed="false">
      <c r="A89" s="33" t="n">
        <v>1.58</v>
      </c>
      <c r="B89" s="33" t="n">
        <v>1.71</v>
      </c>
      <c r="C89" s="34" t="n">
        <v>0.2</v>
      </c>
      <c r="D89" s="30" t="n">
        <f aca="false">IF(OR(A89="",A88="",A89=A88),"",(B89-B88)/(A89-A88))</f>
        <v>-0.0500000000000056</v>
      </c>
      <c r="E89" s="26" t="str">
        <f aca="false">IF(OR(B89="",B88="",$B$6=""),"",IF(AND(B88&lt;$B$6,B89&gt;=$B$6),A88+($B$6-B88)/(B89-B88)*(A89-A88),""))</f>
        <v/>
      </c>
    </row>
    <row r="90" customFormat="false" ht="15" hidden="false" customHeight="true" outlineLevel="0" collapsed="false">
      <c r="A90" s="33" t="n">
        <v>1.6</v>
      </c>
      <c r="B90" s="33" t="n">
        <v>1.714</v>
      </c>
      <c r="C90" s="34" t="n">
        <v>0.21</v>
      </c>
      <c r="D90" s="30" t="n">
        <f aca="false">IF(OR(A90="",A89="",A90=A89),"",(B90-B89)/(A90-A89))</f>
        <v>0.2</v>
      </c>
      <c r="E90" s="26" t="str">
        <f aca="false">IF(OR(B90="",B89="",$B$6=""),"",IF(AND(B89&lt;$B$6,B90&gt;=$B$6),A89+($B$6-B89)/(B90-B89)*(A90-A89),""))</f>
        <v/>
      </c>
    </row>
    <row r="91" customFormat="false" ht="15" hidden="false" customHeight="true" outlineLevel="0" collapsed="false">
      <c r="A91" s="33" t="n">
        <v>1.62</v>
      </c>
      <c r="B91" s="33" t="n">
        <v>1.714</v>
      </c>
      <c r="C91" s="34" t="n">
        <v>0.21</v>
      </c>
      <c r="D91" s="30" t="n">
        <f aca="false">IF(OR(A91="",A90="",A91=A90),"",(B91-B90)/(A91-A90))</f>
        <v>0</v>
      </c>
      <c r="E91" s="26" t="str">
        <f aca="false">IF(OR(B91="",B90="",$B$6=""),"",IF(AND(B90&lt;$B$6,B91&gt;=$B$6),A90+($B$6-B90)/(B91-B90)*(A91-A90),""))</f>
        <v/>
      </c>
    </row>
    <row r="92" customFormat="false" ht="15" hidden="false" customHeight="true" outlineLevel="0" collapsed="false">
      <c r="A92" s="33" t="n">
        <v>1.64</v>
      </c>
      <c r="B92" s="33" t="n">
        <v>1.71</v>
      </c>
      <c r="C92" s="34" t="n">
        <v>0.21</v>
      </c>
      <c r="D92" s="30" t="n">
        <f aca="false">IF(OR(A92="",A91="",A92=A91),"",(B92-B91)/(A92-A91))</f>
        <v>-0.200000000000002</v>
      </c>
      <c r="E92" s="26" t="str">
        <f aca="false">IF(OR(B92="",B91="",$B$6=""),"",IF(AND(B91&lt;$B$6,B92&gt;=$B$6),A91+($B$6-B91)/(B92-B91)*(A92-A91),""))</f>
        <v/>
      </c>
    </row>
    <row r="93" customFormat="false" ht="15" hidden="false" customHeight="true" outlineLevel="0" collapsed="false">
      <c r="A93" s="33" t="n">
        <v>1.66</v>
      </c>
      <c r="B93" s="33" t="n">
        <v>1.716</v>
      </c>
      <c r="C93" s="34" t="n">
        <v>0.21</v>
      </c>
      <c r="D93" s="30" t="n">
        <f aca="false">IF(OR(A93="",A92="",A93=A92),"",(B93-B92)/(A93-A92))</f>
        <v>0.3</v>
      </c>
      <c r="E93" s="26" t="str">
        <f aca="false">IF(OR(B93="",B92="",$B$6=""),"",IF(AND(B92&lt;$B$6,B93&gt;=$B$6),A92+($B$6-B92)/(B93-B92)*(A93-A92),""))</f>
        <v/>
      </c>
    </row>
    <row r="94" customFormat="false" ht="15" hidden="false" customHeight="true" outlineLevel="0" collapsed="false">
      <c r="A94" s="33" t="n">
        <v>1.68</v>
      </c>
      <c r="B94" s="33" t="n">
        <v>1.71</v>
      </c>
      <c r="C94" s="34" t="n">
        <v>0.2</v>
      </c>
      <c r="D94" s="30" t="n">
        <f aca="false">IF(OR(A94="",A93="",A94=A93),"",(B94-B93)/(A94-A93))</f>
        <v>-0.3</v>
      </c>
      <c r="E94" s="26" t="str">
        <f aca="false">IF(OR(B94="",B93="",$B$6=""),"",IF(AND(B93&lt;$B$6,B94&gt;=$B$6),A93+($B$6-B93)/(B94-B93)*(A94-A93),""))</f>
        <v/>
      </c>
    </row>
    <row r="95" customFormat="false" ht="15" hidden="false" customHeight="true" outlineLevel="0" collapsed="false">
      <c r="A95" s="33" t="n">
        <v>1.7</v>
      </c>
      <c r="B95" s="33" t="n">
        <v>1.713</v>
      </c>
      <c r="C95" s="34" t="n">
        <v>0.19</v>
      </c>
      <c r="D95" s="30" t="n">
        <f aca="false">IF(OR(A95="",A94="",A95=A94),"",(B95-B94)/(A95-A94))</f>
        <v>0.150000000000006</v>
      </c>
      <c r="E95" s="26" t="str">
        <f aca="false">IF(OR(B95="",B94="",$B$6=""),"",IF(AND(B94&lt;$B$6,B95&gt;=$B$6),A94+($B$6-B94)/(B95-B94)*(A95-A94),""))</f>
        <v/>
      </c>
    </row>
    <row r="96" customFormat="false" ht="15" hidden="false" customHeight="true" outlineLevel="0" collapsed="false">
      <c r="A96" s="33" t="n">
        <v>1.72</v>
      </c>
      <c r="B96" s="33" t="n">
        <v>1.712</v>
      </c>
      <c r="C96" s="34" t="n">
        <v>0.19</v>
      </c>
      <c r="D96" s="30" t="n">
        <f aca="false">IF(OR(A96="",A95="",A96=A95),"",(B96-B95)/(A96-A95))</f>
        <v>-0.0500000000000056</v>
      </c>
      <c r="E96" s="26" t="str">
        <f aca="false">IF(OR(B96="",B95="",$B$6=""),"",IF(AND(B95&lt;$B$6,B96&gt;=$B$6),A95+($B$6-B95)/(B96-B95)*(A96-A95),""))</f>
        <v/>
      </c>
    </row>
    <row r="97" customFormat="false" ht="15" hidden="false" customHeight="true" outlineLevel="0" collapsed="false">
      <c r="A97" s="33" t="n">
        <v>1.74</v>
      </c>
      <c r="B97" s="33" t="n">
        <v>1.715</v>
      </c>
      <c r="C97" s="34" t="n">
        <v>0.21</v>
      </c>
      <c r="D97" s="30" t="n">
        <f aca="false">IF(OR(A97="",A96="",A97=A96),"",(B97-B96)/(A97-A96))</f>
        <v>0.150000000000006</v>
      </c>
      <c r="E97" s="26" t="str">
        <f aca="false">IF(OR(B97="",B96="",$B$6=""),"",IF(AND(B96&lt;$B$6,B97&gt;=$B$6),A96+($B$6-B96)/(B97-B96)*(A97-A96),""))</f>
        <v/>
      </c>
    </row>
    <row r="98" customFormat="false" ht="15" hidden="false" customHeight="true" outlineLevel="0" collapsed="false">
      <c r="A98" s="33" t="n">
        <v>1.76</v>
      </c>
      <c r="B98" s="33" t="n">
        <v>1.718</v>
      </c>
      <c r="C98" s="34" t="n">
        <v>0.2</v>
      </c>
      <c r="D98" s="30" t="n">
        <f aca="false">IF(OR(A98="",A97="",A98=A97),"",(B98-B97)/(A98-A97))</f>
        <v>0.149999999999994</v>
      </c>
      <c r="E98" s="26" t="str">
        <f aca="false">IF(OR(B98="",B97="",$B$6=""),"",IF(AND(B97&lt;$B$6,B98&gt;=$B$6),A97+($B$6-B97)/(B98-B97)*(A98-A97),""))</f>
        <v/>
      </c>
    </row>
    <row r="99" customFormat="false" ht="15" hidden="false" customHeight="true" outlineLevel="0" collapsed="false">
      <c r="A99" s="33" t="n">
        <v>1.78</v>
      </c>
      <c r="B99" s="33" t="n">
        <v>1.717</v>
      </c>
      <c r="C99" s="34" t="n">
        <v>0.21</v>
      </c>
      <c r="D99" s="30" t="n">
        <f aca="false">IF(OR(A99="",A98="",A99=A98),"",(B99-B98)/(A99-A98))</f>
        <v>-0.0499999999999945</v>
      </c>
      <c r="E99" s="26" t="str">
        <f aca="false">IF(OR(B99="",B98="",$B$6=""),"",IF(AND(B98&lt;$B$6,B99&gt;=$B$6),A98+($B$6-B98)/(B99-B98)*(A99-A98),""))</f>
        <v/>
      </c>
    </row>
    <row r="100" customFormat="false" ht="15" hidden="false" customHeight="true" outlineLevel="0" collapsed="false">
      <c r="A100" s="33" t="n">
        <v>1.8</v>
      </c>
      <c r="B100" s="33" t="n">
        <v>1.712</v>
      </c>
      <c r="C100" s="34" t="n">
        <v>0.21</v>
      </c>
      <c r="D100" s="30" t="n">
        <f aca="false">IF(OR(A100="",A99="",A100=A99),"",(B100-B99)/(A100-A99))</f>
        <v>-0.250000000000006</v>
      </c>
      <c r="E100" s="26" t="str">
        <f aca="false">IF(OR(B100="",B99="",$B$6=""),"",IF(AND(B99&lt;$B$6,B100&gt;=$B$6),A99+($B$6-B99)/(B100-B99)*(A100-A99),""))</f>
        <v/>
      </c>
    </row>
    <row r="101" customFormat="false" ht="15" hidden="false" customHeight="true" outlineLevel="0" collapsed="false">
      <c r="A101" s="33" t="n">
        <v>1.82</v>
      </c>
      <c r="B101" s="33" t="n">
        <v>1.719</v>
      </c>
      <c r="C101" s="34" t="n">
        <v>0.2</v>
      </c>
      <c r="D101" s="30" t="n">
        <f aca="false">IF(OR(A101="",A100="",A101=A100),"",(B101-B100)/(A101-A100))</f>
        <v>0.350000000000006</v>
      </c>
      <c r="E101" s="26" t="str">
        <f aca="false">IF(OR(B101="",B100="",$B$6=""),"",IF(AND(B100&lt;$B$6,B101&gt;=$B$6),A100+($B$6-B100)/(B101-B100)*(A101-A100),""))</f>
        <v/>
      </c>
    </row>
    <row r="102" customFormat="false" ht="15" hidden="false" customHeight="true" outlineLevel="0" collapsed="false">
      <c r="A102" s="33" t="n">
        <v>1.84</v>
      </c>
      <c r="B102" s="33" t="n">
        <v>1.719</v>
      </c>
      <c r="C102" s="34" t="n">
        <v>0.2</v>
      </c>
      <c r="D102" s="30" t="n">
        <f aca="false">IF(OR(A102="",A101="",A102=A101),"",(B102-B101)/(A102-A101))</f>
        <v>0</v>
      </c>
      <c r="E102" s="26" t="str">
        <f aca="false">IF(OR(B102="",B101="",$B$6=""),"",IF(AND(B101&lt;$B$6,B102&gt;=$B$6),A101+($B$6-B101)/(B102-B101)*(A102-A101),""))</f>
        <v/>
      </c>
    </row>
    <row r="103" customFormat="false" ht="15" hidden="false" customHeight="true" outlineLevel="0" collapsed="false">
      <c r="A103" s="33" t="n">
        <v>1.86</v>
      </c>
      <c r="B103" s="33" t="n">
        <v>1.716</v>
      </c>
      <c r="C103" s="34" t="n">
        <v>0.21</v>
      </c>
      <c r="D103" s="30" t="n">
        <f aca="false">IF(OR(A103="",A102="",A103=A102),"",(B103-B102)/(A103-A102))</f>
        <v>-0.150000000000006</v>
      </c>
      <c r="E103" s="26" t="str">
        <f aca="false">IF(OR(B103="",B102="",$B$6=""),"",IF(AND(B102&lt;$B$6,B103&gt;=$B$6),A102+($B$6-B102)/(B103-B102)*(A103-A102),""))</f>
        <v/>
      </c>
    </row>
    <row r="104" customFormat="false" ht="15" hidden="false" customHeight="true" outlineLevel="0" collapsed="false">
      <c r="A104" s="33" t="n">
        <v>1.88</v>
      </c>
      <c r="B104" s="33" t="n">
        <v>1.719</v>
      </c>
      <c r="C104" s="34" t="n">
        <v>0.2</v>
      </c>
      <c r="D104" s="30" t="n">
        <f aca="false">IF(OR(A104="",A103="",A104=A103),"",(B104-B103)/(A104-A103))</f>
        <v>0.150000000000007</v>
      </c>
      <c r="E104" s="26" t="str">
        <f aca="false">IF(OR(B104="",B103="",$B$6=""),"",IF(AND(B103&lt;$B$6,B104&gt;=$B$6),A103+($B$6-B103)/(B104-B103)*(A104-A103),""))</f>
        <v/>
      </c>
    </row>
    <row r="105" customFormat="false" ht="15" hidden="false" customHeight="true" outlineLevel="0" collapsed="false">
      <c r="A105" s="33" t="n">
        <v>1.9</v>
      </c>
      <c r="B105" s="33" t="n">
        <v>1.716</v>
      </c>
      <c r="C105" s="34" t="n">
        <v>0.2</v>
      </c>
      <c r="D105" s="30" t="n">
        <f aca="false">IF(OR(A105="",A104="",A105=A104),"",(B105-B104)/(A105-A104))</f>
        <v>-0.150000000000006</v>
      </c>
      <c r="E105" s="26" t="str">
        <f aca="false">IF(OR(B105="",B104="",$B$6=""),"",IF(AND(B104&lt;$B$6,B105&gt;=$B$6),A104+($B$6-B104)/(B105-B104)*(A105-A104),""))</f>
        <v/>
      </c>
    </row>
    <row r="106" customFormat="false" ht="15" hidden="false" customHeight="true" outlineLevel="0" collapsed="false">
      <c r="A106" s="33" t="n">
        <v>1.92</v>
      </c>
      <c r="B106" s="33" t="n">
        <v>1.715</v>
      </c>
      <c r="C106" s="34" t="n">
        <v>0.2</v>
      </c>
      <c r="D106" s="30" t="n">
        <f aca="false">IF(OR(A106="",A105="",A106=A105),"",(B106-B105)/(A106-A105))</f>
        <v>-0.0499999999999945</v>
      </c>
      <c r="E106" s="26" t="str">
        <f aca="false">IF(OR(B106="",B105="",$B$6=""),"",IF(AND(B105&lt;$B$6,B106&gt;=$B$6),A105+($B$6-B105)/(B106-B105)*(A106-A105),""))</f>
        <v/>
      </c>
    </row>
    <row r="107" customFormat="false" ht="15" hidden="false" customHeight="true" outlineLevel="0" collapsed="false">
      <c r="A107" s="33" t="n">
        <v>1.94</v>
      </c>
      <c r="B107" s="33" t="n">
        <v>1.715</v>
      </c>
      <c r="C107" s="34" t="n">
        <v>0.21</v>
      </c>
      <c r="D107" s="30" t="n">
        <f aca="false">IF(OR(A107="",A106="",A107=A106),"",(B107-B106)/(A107-A106))</f>
        <v>0</v>
      </c>
      <c r="E107" s="26" t="str">
        <f aca="false">IF(OR(B107="",B106="",$B$6=""),"",IF(AND(B106&lt;$B$6,B107&gt;=$B$6),A106+($B$6-B106)/(B107-B106)*(A107-A106),""))</f>
        <v/>
      </c>
    </row>
    <row r="108" customFormat="false" ht="15" hidden="false" customHeight="true" outlineLevel="0" collapsed="false">
      <c r="A108" s="33" t="n">
        <v>1.96</v>
      </c>
      <c r="B108" s="33" t="n">
        <v>1.713</v>
      </c>
      <c r="C108" s="34" t="n">
        <v>0.2</v>
      </c>
      <c r="D108" s="30" t="n">
        <f aca="false">IF(OR(A108="",A107="",A108=A107),"",(B108-B107)/(A108-A107))</f>
        <v>-0.1</v>
      </c>
      <c r="E108" s="26" t="str">
        <f aca="false">IF(OR(B108="",B107="",$B$6=""),"",IF(AND(B107&lt;$B$6,B108&gt;=$B$6),A107+($B$6-B107)/(B108-B107)*(A108-A107),""))</f>
        <v/>
      </c>
    </row>
    <row r="109" customFormat="false" ht="15" hidden="false" customHeight="true" outlineLevel="0" collapsed="false">
      <c r="A109" s="33" t="n">
        <v>1.98</v>
      </c>
      <c r="B109" s="33" t="n">
        <v>1.717</v>
      </c>
      <c r="C109" s="34" t="n">
        <v>0.19</v>
      </c>
      <c r="D109" s="30" t="n">
        <f aca="false">IF(OR(A109="",A108="",A109=A108),"",(B109-B108)/(A109-A108))</f>
        <v>0.2</v>
      </c>
      <c r="E109" s="26" t="str">
        <f aca="false">IF(OR(B109="",B108="",$B$6=""),"",IF(AND(B108&lt;$B$6,B109&gt;=$B$6),A108+($B$6-B108)/(B109-B108)*(A109-A108),""))</f>
        <v/>
      </c>
    </row>
    <row r="110" customFormat="false" ht="15" hidden="false" customHeight="true" outlineLevel="0" collapsed="false">
      <c r="A110" s="33" t="n">
        <v>2</v>
      </c>
      <c r="B110" s="33" t="n">
        <v>1.716</v>
      </c>
      <c r="C110" s="34" t="n">
        <v>0.2</v>
      </c>
      <c r="D110" s="30" t="n">
        <f aca="false">IF(OR(A110="",A109="",A110=A109),"",(B110-B109)/(A110-A109))</f>
        <v>-0.0500000000000056</v>
      </c>
      <c r="E110" s="26" t="str">
        <f aca="false">IF(OR(B110="",B109="",$B$6=""),"",IF(AND(B109&lt;$B$6,B110&gt;=$B$6),A109+($B$6-B109)/(B110-B109)*(A110-A109),""))</f>
        <v/>
      </c>
    </row>
    <row r="111" customFormat="false" ht="15" hidden="false" customHeight="true" outlineLevel="0" collapsed="false">
      <c r="A111" s="33" t="n">
        <v>2.02</v>
      </c>
      <c r="B111" s="33" t="n">
        <v>1.718</v>
      </c>
      <c r="C111" s="34" t="n">
        <v>0.19</v>
      </c>
      <c r="D111" s="30" t="n">
        <f aca="false">IF(OR(A111="",A110="",A111=A110),"",(B111-B110)/(A111-A110))</f>
        <v>0.1</v>
      </c>
      <c r="E111" s="26" t="str">
        <f aca="false">IF(OR(B111="",B110="",$B$6=""),"",IF(AND(B110&lt;$B$6,B111&gt;=$B$6),A110+($B$6-B110)/(B111-B110)*(A111-A110),""))</f>
        <v/>
      </c>
    </row>
    <row r="112" customFormat="false" ht="15" hidden="false" customHeight="true" outlineLevel="0" collapsed="false">
      <c r="A112" s="33" t="n">
        <v>2.04</v>
      </c>
      <c r="B112" s="33" t="n">
        <v>1.722</v>
      </c>
      <c r="C112" s="34" t="n">
        <v>0.21</v>
      </c>
      <c r="D112" s="30" t="n">
        <f aca="false">IF(OR(A112="",A111="",A112=A111),"",(B112-B111)/(A112-A111))</f>
        <v>0.2</v>
      </c>
      <c r="E112" s="26" t="str">
        <f aca="false">IF(OR(B112="",B111="",$B$6=""),"",IF(AND(B111&lt;$B$6,B112&gt;=$B$6),A111+($B$6-B111)/(B112-B111)*(A112-A111),""))</f>
        <v/>
      </c>
    </row>
    <row r="113" customFormat="false" ht="15" hidden="false" customHeight="true" outlineLevel="0" collapsed="false">
      <c r="A113" s="33" t="n">
        <v>2.06</v>
      </c>
      <c r="B113" s="33" t="n">
        <v>1.722</v>
      </c>
      <c r="C113" s="34" t="n">
        <v>0.19</v>
      </c>
      <c r="D113" s="30" t="n">
        <f aca="false">IF(OR(A113="",A112="",A113=A112),"",(B113-B112)/(A113-A112))</f>
        <v>0</v>
      </c>
      <c r="E113" s="26" t="str">
        <f aca="false">IF(OR(B113="",B112="",$B$6=""),"",IF(AND(B112&lt;$B$6,B113&gt;=$B$6),A112+($B$6-B112)/(B113-B112)*(A113-A112),""))</f>
        <v/>
      </c>
    </row>
    <row r="114" customFormat="false" ht="15" hidden="false" customHeight="true" outlineLevel="0" collapsed="false">
      <c r="A114" s="33" t="n">
        <v>2.08</v>
      </c>
      <c r="B114" s="33" t="n">
        <v>1.716</v>
      </c>
      <c r="C114" s="34" t="n">
        <v>0.19</v>
      </c>
      <c r="D114" s="30" t="n">
        <f aca="false">IF(OR(A114="",A113="",A114=A113),"",(B114-B113)/(A114-A113))</f>
        <v>-0.3</v>
      </c>
      <c r="E114" s="26" t="str">
        <f aca="false">IF(OR(B114="",B113="",$B$6=""),"",IF(AND(B113&lt;$B$6,B114&gt;=$B$6),A113+($B$6-B113)/(B114-B113)*(A114-A113),""))</f>
        <v/>
      </c>
    </row>
    <row r="115" customFormat="false" ht="15" hidden="false" customHeight="true" outlineLevel="0" collapsed="false">
      <c r="A115" s="33" t="n">
        <v>2.1</v>
      </c>
      <c r="B115" s="33" t="n">
        <v>1.72</v>
      </c>
      <c r="C115" s="34" t="n">
        <v>0.2</v>
      </c>
      <c r="D115" s="30" t="n">
        <f aca="false">IF(OR(A115="",A114="",A115=A114),"",(B115-B114)/(A115-A114))</f>
        <v>0.2</v>
      </c>
      <c r="E115" s="26" t="str">
        <f aca="false">IF(OR(B115="",B114="",$B$6=""),"",IF(AND(B114&lt;$B$6,B115&gt;=$B$6),A114+($B$6-B114)/(B115-B114)*(A115-A114),""))</f>
        <v/>
      </c>
    </row>
    <row r="116" customFormat="false" ht="15" hidden="false" customHeight="true" outlineLevel="0" collapsed="false">
      <c r="A116" s="33" t="n">
        <v>2.12</v>
      </c>
      <c r="B116" s="33" t="n">
        <v>1.715</v>
      </c>
      <c r="C116" s="34" t="n">
        <v>0.2</v>
      </c>
      <c r="D116" s="30" t="n">
        <f aca="false">IF(OR(A116="",A115="",A116=A115),"",(B116-B115)/(A116-A115))</f>
        <v>-0.249999999999994</v>
      </c>
      <c r="E116" s="26" t="str">
        <f aca="false">IF(OR(B116="",B115="",$B$6=""),"",IF(AND(B115&lt;$B$6,B116&gt;=$B$6),A115+($B$6-B115)/(B116-B115)*(A116-A115),""))</f>
        <v/>
      </c>
    </row>
    <row r="117" customFormat="false" ht="15" hidden="false" customHeight="true" outlineLevel="0" collapsed="false">
      <c r="A117" s="33" t="n">
        <v>2.14</v>
      </c>
      <c r="B117" s="33" t="n">
        <v>1.722</v>
      </c>
      <c r="C117" s="34" t="n">
        <v>0.21</v>
      </c>
      <c r="D117" s="30" t="n">
        <f aca="false">IF(OR(A117="",A116="",A117=A116),"",(B117-B116)/(A117-A116))</f>
        <v>0.349999999999994</v>
      </c>
      <c r="E117" s="26" t="str">
        <f aca="false">IF(OR(B117="",B116="",$B$6=""),"",IF(AND(B116&lt;$B$6,B117&gt;=$B$6),A116+($B$6-B116)/(B117-B116)*(A117-A116),""))</f>
        <v/>
      </c>
    </row>
    <row r="118" customFormat="false" ht="15" hidden="false" customHeight="true" outlineLevel="0" collapsed="false">
      <c r="A118" s="33" t="n">
        <v>2.16</v>
      </c>
      <c r="B118" s="33" t="n">
        <v>1.717</v>
      </c>
      <c r="C118" s="34" t="n">
        <v>0.19</v>
      </c>
      <c r="D118" s="30" t="n">
        <f aca="false">IF(OR(A118="",A117="",A118=A117),"",(B118-B117)/(A118-A117))</f>
        <v>-0.249999999999994</v>
      </c>
      <c r="E118" s="26" t="str">
        <f aca="false">IF(OR(B118="",B117="",$B$6=""),"",IF(AND(B117&lt;$B$6,B118&gt;=$B$6),A117+($B$6-B117)/(B118-B117)*(A118-A117),""))</f>
        <v/>
      </c>
    </row>
    <row r="119" customFormat="false" ht="15" hidden="false" customHeight="true" outlineLevel="0" collapsed="false">
      <c r="A119" s="33" t="n">
        <v>2.18</v>
      </c>
      <c r="B119" s="33" t="n">
        <v>1.722</v>
      </c>
      <c r="C119" s="34" t="n">
        <v>0.2</v>
      </c>
      <c r="D119" s="30" t="n">
        <f aca="false">IF(OR(A119="",A118="",A119=A118),"",(B119-B118)/(A119-A118))</f>
        <v>0.249999999999994</v>
      </c>
      <c r="E119" s="26" t="str">
        <f aca="false">IF(OR(B119="",B118="",$B$6=""),"",IF(AND(B118&lt;$B$6,B119&gt;=$B$6),A118+($B$6-B118)/(B119-B118)*(A119-A118),""))</f>
        <v/>
      </c>
    </row>
    <row r="120" customFormat="false" ht="15" hidden="false" customHeight="true" outlineLevel="0" collapsed="false">
      <c r="A120" s="33" t="n">
        <v>2.2</v>
      </c>
      <c r="B120" s="33" t="n">
        <v>1.72</v>
      </c>
      <c r="C120" s="34" t="n">
        <v>0.19</v>
      </c>
      <c r="D120" s="30" t="n">
        <f aca="false">IF(OR(A120="",A119="",A120=A119),"",(B120-B119)/(A120-A119))</f>
        <v>-0.1</v>
      </c>
      <c r="E120" s="26" t="str">
        <f aca="false">IF(OR(B120="",B119="",$B$6=""),"",IF(AND(B119&lt;$B$6,B120&gt;=$B$6),A119+($B$6-B119)/(B120-B119)*(A120-A119),""))</f>
        <v/>
      </c>
    </row>
    <row r="121" customFormat="false" ht="15" hidden="false" customHeight="true" outlineLevel="0" collapsed="false">
      <c r="A121" s="33" t="n">
        <v>2.22</v>
      </c>
      <c r="B121" s="33" t="n">
        <v>1.715</v>
      </c>
      <c r="C121" s="34" t="n">
        <v>0.2</v>
      </c>
      <c r="D121" s="30" t="n">
        <f aca="false">IF(OR(A121="",A120="",A121=A120),"",(B121-B120)/(A121-A120))</f>
        <v>-0.249999999999994</v>
      </c>
      <c r="E121" s="26" t="str">
        <f aca="false">IF(OR(B121="",B120="",$B$6=""),"",IF(AND(B120&lt;$B$6,B121&gt;=$B$6),A120+($B$6-B120)/(B121-B120)*(A121-A120),""))</f>
        <v/>
      </c>
    </row>
    <row r="122" customFormat="false" ht="15" hidden="false" customHeight="true" outlineLevel="0" collapsed="false">
      <c r="A122" s="33" t="n">
        <v>2.24</v>
      </c>
      <c r="B122" s="33" t="n">
        <v>1.718</v>
      </c>
      <c r="C122" s="34" t="n">
        <v>0.19</v>
      </c>
      <c r="D122" s="30" t="n">
        <f aca="false">IF(OR(A122="",A121="",A122=A121),"",(B122-B121)/(A122-A121))</f>
        <v>0.149999999999994</v>
      </c>
      <c r="E122" s="26" t="str">
        <f aca="false">IF(OR(B122="",B121="",$B$6=""),"",IF(AND(B121&lt;$B$6,B122&gt;=$B$6),A121+($B$6-B121)/(B122-B121)*(A122-A121),""))</f>
        <v/>
      </c>
    </row>
    <row r="123" customFormat="false" ht="15" hidden="false" customHeight="true" outlineLevel="0" collapsed="false">
      <c r="A123" s="33" t="n">
        <v>2.26</v>
      </c>
      <c r="B123" s="33" t="n">
        <v>1.722</v>
      </c>
      <c r="C123" s="34" t="n">
        <v>0.2</v>
      </c>
      <c r="D123" s="30" t="n">
        <f aca="false">IF(OR(A123="",A122="",A123=A122),"",(B123-B122)/(A123-A122))</f>
        <v>0.200000000000004</v>
      </c>
      <c r="E123" s="26" t="str">
        <f aca="false">IF(OR(B123="",B122="",$B$6=""),"",IF(AND(B122&lt;$B$6,B123&gt;=$B$6),A122+($B$6-B122)/(B123-B122)*(A123-A122),""))</f>
        <v/>
      </c>
    </row>
    <row r="124" customFormat="false" ht="15" hidden="false" customHeight="true" outlineLevel="0" collapsed="false">
      <c r="A124" s="33" t="n">
        <v>2.28</v>
      </c>
      <c r="B124" s="33" t="n">
        <v>1.721</v>
      </c>
      <c r="C124" s="34" t="n">
        <v>0.19</v>
      </c>
      <c r="D124" s="30" t="n">
        <f aca="false">IF(OR(A124="",A123="",A124=A123),"",(B124-B123)/(A124-A123))</f>
        <v>-0.0499999999999945</v>
      </c>
      <c r="E124" s="26" t="str">
        <f aca="false">IF(OR(B124="",B123="",$B$6=""),"",IF(AND(B123&lt;$B$6,B124&gt;=$B$6),A123+($B$6-B123)/(B124-B123)*(A124-A123),""))</f>
        <v/>
      </c>
    </row>
    <row r="125" customFormat="false" ht="15" hidden="false" customHeight="true" outlineLevel="0" collapsed="false">
      <c r="A125" s="33" t="n">
        <v>2.3</v>
      </c>
      <c r="B125" s="33" t="n">
        <v>1.722</v>
      </c>
      <c r="C125" s="34" t="n">
        <v>0.19</v>
      </c>
      <c r="D125" s="30" t="n">
        <f aca="false">IF(OR(A125="",A124="",A125=A124),"",(B125-B124)/(A125-A124))</f>
        <v>0.0499999999999945</v>
      </c>
      <c r="E125" s="26" t="str">
        <f aca="false">IF(OR(B125="",B124="",$B$6=""),"",IF(AND(B124&lt;$B$6,B125&gt;=$B$6),A124+($B$6-B124)/(B125-B124)*(A125-A124),""))</f>
        <v/>
      </c>
    </row>
    <row r="126" customFormat="false" ht="15" hidden="false" customHeight="true" outlineLevel="0" collapsed="false">
      <c r="A126" s="33" t="n">
        <v>2.32</v>
      </c>
      <c r="B126" s="33" t="n">
        <v>1.722</v>
      </c>
      <c r="C126" s="34" t="n">
        <v>0.2</v>
      </c>
      <c r="D126" s="30" t="n">
        <f aca="false">IF(OR(A126="",A125="",A126=A125),"",(B126-B125)/(A126-A125))</f>
        <v>0</v>
      </c>
      <c r="E126" s="26" t="str">
        <f aca="false">IF(OR(B126="",B125="",$B$6=""),"",IF(AND(B125&lt;$B$6,B126&gt;=$B$6),A125+($B$6-B125)/(B126-B125)*(A126-A125),""))</f>
        <v/>
      </c>
    </row>
    <row r="127" customFormat="false" ht="15" hidden="false" customHeight="true" outlineLevel="0" collapsed="false">
      <c r="A127" s="33" t="n">
        <v>2.34</v>
      </c>
      <c r="B127" s="33" t="n">
        <v>1.718</v>
      </c>
      <c r="C127" s="34" t="n">
        <v>0.2</v>
      </c>
      <c r="D127" s="30" t="n">
        <f aca="false">IF(OR(A127="",A126="",A127=A126),"",(B127-B126)/(A127-A126))</f>
        <v>-0.2</v>
      </c>
      <c r="E127" s="26" t="str">
        <f aca="false">IF(OR(B127="",B126="",$B$6=""),"",IF(AND(B126&lt;$B$6,B127&gt;=$B$6),A126+($B$6-B126)/(B127-B126)*(A127-A126),""))</f>
        <v/>
      </c>
    </row>
    <row r="128" customFormat="false" ht="15" hidden="false" customHeight="true" outlineLevel="0" collapsed="false">
      <c r="A128" s="33" t="n">
        <v>2.36</v>
      </c>
      <c r="B128" s="33" t="n">
        <v>1.723</v>
      </c>
      <c r="C128" s="34" t="n">
        <v>0.2</v>
      </c>
      <c r="D128" s="30" t="n">
        <f aca="false">IF(OR(A128="",A127="",A128=A127),"",(B128-B127)/(A128-A127))</f>
        <v>0.250000000000006</v>
      </c>
      <c r="E128" s="26" t="str">
        <f aca="false">IF(OR(B128="",B127="",$B$6=""),"",IF(AND(B127&lt;$B$6,B128&gt;=$B$6),A127+($B$6-B127)/(B128-B127)*(A128-A127),""))</f>
        <v/>
      </c>
    </row>
    <row r="129" customFormat="false" ht="15" hidden="false" customHeight="true" outlineLevel="0" collapsed="false">
      <c r="A129" s="33" t="n">
        <v>2.38</v>
      </c>
      <c r="B129" s="33" t="n">
        <v>1.716</v>
      </c>
      <c r="C129" s="34" t="n">
        <v>0.2</v>
      </c>
      <c r="D129" s="30" t="n">
        <f aca="false">IF(OR(A129="",A128="",A129=A128),"",(B129-B128)/(A129-A128))</f>
        <v>-0.350000000000006</v>
      </c>
      <c r="E129" s="26" t="str">
        <f aca="false">IF(OR(B129="",B128="",$B$6=""),"",IF(AND(B128&lt;$B$6,B129&gt;=$B$6),A128+($B$6-B128)/(B129-B128)*(A129-A128),""))</f>
        <v/>
      </c>
    </row>
    <row r="130" customFormat="false" ht="15" hidden="false" customHeight="true" outlineLevel="0" collapsed="false">
      <c r="A130" s="33" t="n">
        <v>2.4</v>
      </c>
      <c r="B130" s="33" t="n">
        <v>1.717</v>
      </c>
      <c r="C130" s="34" t="n">
        <v>0.19</v>
      </c>
      <c r="D130" s="30" t="n">
        <f aca="false">IF(OR(A130="",A129="",A130=A129),"",(B130-B129)/(A130-A129))</f>
        <v>0.0500000000000056</v>
      </c>
      <c r="E130" s="26" t="str">
        <f aca="false">IF(OR(B130="",B129="",$B$6=""),"",IF(AND(B129&lt;$B$6,B130&gt;=$B$6),A129+($B$6-B129)/(B130-B129)*(A130-A129),""))</f>
        <v/>
      </c>
    </row>
    <row r="131" customFormat="false" ht="15" hidden="false" customHeight="true" outlineLevel="0" collapsed="false">
      <c r="A131" s="33"/>
      <c r="B131" s="33"/>
      <c r="C131" s="34"/>
      <c r="D131" s="30" t="str">
        <f aca="false">IF(OR(A131="",A130="",A131=A130),"",(B131-B130)/(A131-A130))</f>
        <v/>
      </c>
      <c r="E131" s="26" t="str">
        <f aca="false">IF(OR(B131="",B130="",$B$6=""),"",IF(AND(B130&lt;$B$6,B131&gt;=$B$6),A130+($B$6-B130)/(B131-B130)*(A131-A130),""))</f>
        <v/>
      </c>
    </row>
    <row r="132" customFormat="false" ht="15" hidden="false" customHeight="true" outlineLevel="0" collapsed="false">
      <c r="A132" s="33"/>
      <c r="B132" s="33"/>
      <c r="C132" s="34"/>
      <c r="D132" s="30" t="str">
        <f aca="false">IF(OR(A132="",A131="",A132=A131),"",(B132-B131)/(A132-A131))</f>
        <v/>
      </c>
      <c r="E132" s="26" t="str">
        <f aca="false">IF(OR(B132="",B131="",$B$6=""),"",IF(AND(B131&lt;$B$6,B132&gt;=$B$6),A131+($B$6-B131)/(B132-B131)*(A132-A131),""))</f>
        <v/>
      </c>
    </row>
    <row r="133" customFormat="false" ht="15" hidden="false" customHeight="true" outlineLevel="0" collapsed="false">
      <c r="A133" s="33"/>
      <c r="B133" s="33"/>
      <c r="C133" s="34"/>
      <c r="D133" s="30" t="str">
        <f aca="false">IF(OR(A133="",A132="",A133=A132),"",(B133-B132)/(A133-A132))</f>
        <v/>
      </c>
      <c r="E133" s="26" t="str">
        <f aca="false">IF(OR(B133="",B132="",$B$6=""),"",IF(AND(B132&lt;$B$6,B133&gt;=$B$6),A132+($B$6-B132)/(B133-B132)*(A133-A132),""))</f>
        <v/>
      </c>
    </row>
    <row r="134" customFormat="false" ht="15" hidden="false" customHeight="true" outlineLevel="0" collapsed="false">
      <c r="A134" s="33"/>
      <c r="B134" s="33"/>
      <c r="C134" s="34"/>
      <c r="D134" s="30" t="str">
        <f aca="false">IF(OR(A134="",A133="",A134=A133),"",(B134-B133)/(A134-A133))</f>
        <v/>
      </c>
      <c r="E134" s="26" t="str">
        <f aca="false">IF(OR(B134="",B133="",$B$6=""),"",IF(AND(B133&lt;$B$6,B134&gt;=$B$6),A133+($B$6-B133)/(B134-B133)*(A134-A133),""))</f>
        <v/>
      </c>
    </row>
    <row r="135" customFormat="false" ht="15" hidden="false" customHeight="true" outlineLevel="0" collapsed="false">
      <c r="A135" s="33"/>
      <c r="B135" s="33"/>
      <c r="C135" s="34"/>
      <c r="D135" s="30" t="str">
        <f aca="false">IF(OR(A135="",A134="",A135=A134),"",(B135-B134)/(A135-A134))</f>
        <v/>
      </c>
      <c r="E135" s="26" t="str">
        <f aca="false">IF(OR(B135="",B134="",$B$6=""),"",IF(AND(B134&lt;$B$6,B135&gt;=$B$6),A134+($B$6-B134)/(B135-B134)*(A135-A134),""))</f>
        <v/>
      </c>
    </row>
    <row r="136" customFormat="false" ht="15" hidden="false" customHeight="true" outlineLevel="0" collapsed="false">
      <c r="A136" s="33"/>
      <c r="B136" s="33"/>
      <c r="C136" s="34"/>
      <c r="D136" s="30" t="str">
        <f aca="false">IF(OR(A136="",A135="",A136=A135),"",(B136-B135)/(A136-A135))</f>
        <v/>
      </c>
      <c r="E136" s="26" t="str">
        <f aca="false">IF(OR(B136="",B135="",$B$6=""),"",IF(AND(B135&lt;$B$6,B136&gt;=$B$6),A135+($B$6-B135)/(B136-B135)*(A136-A135),""))</f>
        <v/>
      </c>
    </row>
    <row r="137" customFormat="false" ht="15" hidden="false" customHeight="true" outlineLevel="0" collapsed="false">
      <c r="A137" s="33"/>
      <c r="B137" s="33"/>
      <c r="C137" s="34"/>
      <c r="D137" s="30" t="str">
        <f aca="false">IF(OR(A137="",A136="",A137=A136),"",(B137-B136)/(A137-A136))</f>
        <v/>
      </c>
      <c r="E137" s="26" t="str">
        <f aca="false">IF(OR(B137="",B136="",$B$6=""),"",IF(AND(B136&lt;$B$6,B137&gt;=$B$6),A136+($B$6-B136)/(B137-B136)*(A137-A136),""))</f>
        <v/>
      </c>
    </row>
    <row r="138" customFormat="false" ht="15" hidden="false" customHeight="true" outlineLevel="0" collapsed="false">
      <c r="A138" s="33"/>
      <c r="B138" s="33"/>
      <c r="C138" s="34"/>
      <c r="D138" s="30" t="str">
        <f aca="false">IF(OR(A138="",A137="",A138=A137),"",(B138-B137)/(A138-A137))</f>
        <v/>
      </c>
      <c r="E138" s="26" t="str">
        <f aca="false">IF(OR(B138="",B137="",$B$6=""),"",IF(AND(B137&lt;$B$6,B138&gt;=$B$6),A137+($B$6-B137)/(B138-B137)*(A138-A137),""))</f>
        <v/>
      </c>
    </row>
    <row r="139" customFormat="false" ht="15" hidden="false" customHeight="true" outlineLevel="0" collapsed="false">
      <c r="A139" s="33"/>
      <c r="B139" s="33"/>
      <c r="C139" s="34"/>
      <c r="D139" s="30" t="str">
        <f aca="false">IF(OR(A139="",A138="",A139=A138),"",(B139-B138)/(A139-A138))</f>
        <v/>
      </c>
      <c r="E139" s="26" t="str">
        <f aca="false">IF(OR(B139="",B138="",$B$6=""),"",IF(AND(B138&lt;$B$6,B139&gt;=$B$6),A138+($B$6-B138)/(B139-B138)*(A139-A138),""))</f>
        <v/>
      </c>
    </row>
    <row r="140" customFormat="false" ht="15" hidden="false" customHeight="true" outlineLevel="0" collapsed="false">
      <c r="A140" s="33"/>
      <c r="B140" s="33"/>
      <c r="C140" s="34"/>
      <c r="D140" s="30" t="str">
        <f aca="false">IF(OR(A140="",A139="",A140=A139),"",(B140-B139)/(A140-A139))</f>
        <v/>
      </c>
      <c r="E140" s="26" t="str">
        <f aca="false">IF(OR(B140="",B139="",$B$6=""),"",IF(AND(B139&lt;$B$6,B140&gt;=$B$6),A139+($B$6-B139)/(B140-B139)*(A140-A139),""))</f>
        <v/>
      </c>
    </row>
    <row r="141" customFormat="false" ht="15" hidden="false" customHeight="true" outlineLevel="0" collapsed="false">
      <c r="A141" s="33"/>
      <c r="B141" s="33"/>
      <c r="C141" s="34"/>
      <c r="D141" s="30" t="str">
        <f aca="false">IF(OR(A141="",A140="",A141=A140),"",(B141-B140)/(A141-A140))</f>
        <v/>
      </c>
      <c r="E141" s="26" t="str">
        <f aca="false">IF(OR(B141="",B140="",$B$6=""),"",IF(AND(B140&lt;$B$6,B141&gt;=$B$6),A140+($B$6-B140)/(B141-B140)*(A141-A140),""))</f>
        <v/>
      </c>
    </row>
    <row r="142" customFormat="false" ht="15" hidden="false" customHeight="true" outlineLevel="0" collapsed="false">
      <c r="A142" s="33"/>
      <c r="B142" s="33"/>
      <c r="C142" s="34"/>
      <c r="D142" s="30" t="str">
        <f aca="false">IF(OR(A142="",A141="",A142=A141),"",(B142-B141)/(A142-A141))</f>
        <v/>
      </c>
      <c r="E142" s="26" t="str">
        <f aca="false">IF(OR(B142="",B141="",$B$6=""),"",IF(AND(B141&lt;$B$6,B142&gt;=$B$6),A141+($B$6-B141)/(B142-B141)*(A142-A141),""))</f>
        <v/>
      </c>
    </row>
    <row r="143" customFormat="false" ht="15" hidden="false" customHeight="true" outlineLevel="0" collapsed="false">
      <c r="A143" s="33"/>
      <c r="B143" s="33"/>
      <c r="C143" s="34"/>
      <c r="D143" s="30" t="str">
        <f aca="false">IF(OR(A143="",A142="",A143=A142),"",(B143-B142)/(A143-A142))</f>
        <v/>
      </c>
      <c r="E143" s="26" t="str">
        <f aca="false">IF(OR(B143="",B142="",$B$6=""),"",IF(AND(B142&lt;$B$6,B143&gt;=$B$6),A142+($B$6-B142)/(B143-B142)*(A143-A142),""))</f>
        <v/>
      </c>
    </row>
    <row r="144" customFormat="false" ht="15" hidden="false" customHeight="true" outlineLevel="0" collapsed="false">
      <c r="A144" s="33"/>
      <c r="B144" s="33"/>
      <c r="C144" s="34"/>
      <c r="D144" s="30" t="str">
        <f aca="false">IF(OR(A144="",A143="",A144=A143),"",(B144-B143)/(A144-A143))</f>
        <v/>
      </c>
      <c r="E144" s="26" t="str">
        <f aca="false">IF(OR(B144="",B143="",$B$6=""),"",IF(AND(B143&lt;$B$6,B144&gt;=$B$6),A143+($B$6-B143)/(B144-B143)*(A144-A143),""))</f>
        <v/>
      </c>
    </row>
    <row r="145" customFormat="false" ht="15" hidden="false" customHeight="true" outlineLevel="0" collapsed="false">
      <c r="A145" s="33"/>
      <c r="B145" s="33"/>
      <c r="C145" s="34"/>
      <c r="D145" s="30" t="str">
        <f aca="false">IF(OR(A145="",A144="",A145=A144),"",(B145-B144)/(A145-A144))</f>
        <v/>
      </c>
      <c r="E145" s="26" t="str">
        <f aca="false">IF(OR(B145="",B144="",$B$6=""),"",IF(AND(B144&lt;$B$6,B145&gt;=$B$6),A144+($B$6-B144)/(B145-B144)*(A145-A144),""))</f>
        <v/>
      </c>
    </row>
    <row r="146" customFormat="false" ht="15" hidden="false" customHeight="true" outlineLevel="0" collapsed="false">
      <c r="A146" s="33"/>
      <c r="B146" s="33"/>
      <c r="C146" s="34"/>
      <c r="D146" s="30" t="str">
        <f aca="false">IF(OR(A146="",A145="",A146=A145),"",(B146-B145)/(A146-A145))</f>
        <v/>
      </c>
      <c r="E146" s="26" t="str">
        <f aca="false">IF(OR(B146="",B145="",$B$6=""),"",IF(AND(B145&lt;$B$6,B146&gt;=$B$6),A145+($B$6-B145)/(B146-B145)*(A146-A145),""))</f>
        <v/>
      </c>
    </row>
    <row r="147" customFormat="false" ht="15" hidden="false" customHeight="true" outlineLevel="0" collapsed="false">
      <c r="A147" s="33"/>
      <c r="B147" s="33"/>
      <c r="C147" s="34"/>
      <c r="D147" s="30" t="str">
        <f aca="false">IF(OR(A147="",A146="",A147=A146),"",(B147-B146)/(A147-A146))</f>
        <v/>
      </c>
      <c r="E147" s="26" t="str">
        <f aca="false">IF(OR(B147="",B146="",$B$6=""),"",IF(AND(B146&lt;$B$6,B147&gt;=$B$6),A146+($B$6-B146)/(B147-B146)*(A147-A146),""))</f>
        <v/>
      </c>
    </row>
    <row r="148" customFormat="false" ht="15" hidden="false" customHeight="true" outlineLevel="0" collapsed="false">
      <c r="A148" s="33"/>
      <c r="B148" s="33"/>
      <c r="C148" s="34"/>
      <c r="D148" s="30" t="str">
        <f aca="false">IF(OR(A148="",A147="",A148=A147),"",(B148-B147)/(A148-A147))</f>
        <v/>
      </c>
      <c r="E148" s="26" t="str">
        <f aca="false">IF(OR(B148="",B147="",$B$6=""),"",IF(AND(B147&lt;$B$6,B148&gt;=$B$6),A147+($B$6-B147)/(B148-B147)*(A148-A147),""))</f>
        <v/>
      </c>
    </row>
    <row r="149" customFormat="false" ht="15" hidden="false" customHeight="true" outlineLevel="0" collapsed="false">
      <c r="A149" s="33"/>
      <c r="B149" s="33"/>
      <c r="C149" s="34"/>
      <c r="D149" s="30" t="str">
        <f aca="false">IF(OR(A149="",A148="",A149=A148),"",(B149-B148)/(A149-A148))</f>
        <v/>
      </c>
      <c r="E149" s="26" t="str">
        <f aca="false">IF(OR(B149="",B148="",$B$6=""),"",IF(AND(B148&lt;$B$6,B149&gt;=$B$6),A148+($B$6-B148)/(B149-B148)*(A149-A148),""))</f>
        <v/>
      </c>
    </row>
    <row r="150" customFormat="false" ht="15" hidden="false" customHeight="true" outlineLevel="0" collapsed="false">
      <c r="A150" s="33"/>
      <c r="B150" s="33"/>
      <c r="C150" s="34"/>
      <c r="D150" s="30" t="str">
        <f aca="false">IF(OR(A150="",A149="",A150=A149),"",(B150-B149)/(A150-A149))</f>
        <v/>
      </c>
      <c r="E150" s="26" t="str">
        <f aca="false">IF(OR(B150="",B149="",$B$6=""),"",IF(AND(B149&lt;$B$6,B150&gt;=$B$6),A149+($B$6-B149)/(B150-B149)*(A150-A149),""))</f>
        <v/>
      </c>
    </row>
    <row r="151" customFormat="false" ht="15" hidden="false" customHeight="true" outlineLevel="0" collapsed="false">
      <c r="A151" s="33"/>
      <c r="B151" s="33"/>
      <c r="C151" s="34"/>
      <c r="D151" s="30" t="str">
        <f aca="false">IF(OR(A151="",A150="",A151=A150),"",(B151-B150)/(A151-A150))</f>
        <v/>
      </c>
      <c r="E151" s="26" t="str">
        <f aca="false">IF(OR(B151="",B150="",$B$6=""),"",IF(AND(B150&lt;$B$6,B151&gt;=$B$6),A150+($B$6-B150)/(B151-B150)*(A151-A150),""))</f>
        <v/>
      </c>
    </row>
    <row r="152" customFormat="false" ht="15" hidden="false" customHeight="true" outlineLevel="0" collapsed="false">
      <c r="A152" s="33"/>
      <c r="B152" s="33"/>
      <c r="C152" s="34"/>
      <c r="D152" s="30" t="str">
        <f aca="false">IF(OR(A152="",A151="",A152=A151),"",(B152-B151)/(A152-A151))</f>
        <v/>
      </c>
      <c r="E152" s="26" t="str">
        <f aca="false">IF(OR(B152="",B151="",$B$6=""),"",IF(AND(B151&lt;$B$6,B152&gt;=$B$6),A151+($B$6-B151)/(B152-B151)*(A152-A151),""))</f>
        <v/>
      </c>
    </row>
    <row r="153" customFormat="false" ht="15" hidden="false" customHeight="true" outlineLevel="0" collapsed="false">
      <c r="A153" s="33"/>
      <c r="B153" s="33"/>
      <c r="C153" s="34"/>
      <c r="D153" s="30" t="str">
        <f aca="false">IF(OR(A153="",A152="",A153=A152),"",(B153-B152)/(A153-A152))</f>
        <v/>
      </c>
      <c r="E153" s="26" t="str">
        <f aca="false">IF(OR(B153="",B152="",$B$6=""),"",IF(AND(B152&lt;$B$6,B153&gt;=$B$6),A152+($B$6-B152)/(B153-B152)*(A153-A152),""))</f>
        <v/>
      </c>
    </row>
    <row r="154" customFormat="false" ht="15" hidden="false" customHeight="true" outlineLevel="0" collapsed="false">
      <c r="A154" s="33"/>
      <c r="B154" s="33"/>
      <c r="C154" s="34"/>
      <c r="D154" s="30" t="str">
        <f aca="false">IF(OR(A154="",A153="",A154=A153),"",(B154-B153)/(A154-A153))</f>
        <v/>
      </c>
      <c r="E154" s="26" t="str">
        <f aca="false">IF(OR(B154="",B153="",$B$6=""),"",IF(AND(B153&lt;$B$6,B154&gt;=$B$6),A153+($B$6-B153)/(B154-B153)*(A154-A153),""))</f>
        <v/>
      </c>
    </row>
    <row r="155" customFormat="false" ht="15" hidden="false" customHeight="true" outlineLevel="0" collapsed="false">
      <c r="A155" s="33"/>
      <c r="B155" s="33"/>
      <c r="C155" s="34"/>
      <c r="D155" s="30" t="str">
        <f aca="false">IF(OR(A155="",A154="",A155=A154),"",(B155-B154)/(A155-A154))</f>
        <v/>
      </c>
      <c r="E155" s="26" t="str">
        <f aca="false">IF(OR(B155="",B154="",$B$6=""),"",IF(AND(B154&lt;$B$6,B155&gt;=$B$6),A154+($B$6-B154)/(B155-B154)*(A155-A154),""))</f>
        <v/>
      </c>
    </row>
    <row r="156" customFormat="false" ht="15" hidden="false" customHeight="true" outlineLevel="0" collapsed="false">
      <c r="A156" s="33"/>
      <c r="B156" s="33"/>
      <c r="C156" s="34"/>
      <c r="D156" s="30" t="str">
        <f aca="false">IF(OR(A156="",A155="",A156=A155),"",(B156-B155)/(A156-A155))</f>
        <v/>
      </c>
      <c r="E156" s="26" t="str">
        <f aca="false">IF(OR(B156="",B155="",$B$6=""),"",IF(AND(B155&lt;$B$6,B156&gt;=$B$6),A155+($B$6-B155)/(B156-B155)*(A156-A155),""))</f>
        <v/>
      </c>
    </row>
    <row r="157" customFormat="false" ht="15" hidden="false" customHeight="true" outlineLevel="0" collapsed="false">
      <c r="A157" s="33"/>
      <c r="B157" s="33"/>
      <c r="C157" s="34"/>
      <c r="D157" s="30" t="str">
        <f aca="false">IF(OR(A157="",A156="",A157=A156),"",(B157-B156)/(A157-A156))</f>
        <v/>
      </c>
      <c r="E157" s="26" t="str">
        <f aca="false">IF(OR(B157="",B156="",$B$6=""),"",IF(AND(B156&lt;$B$6,B157&gt;=$B$6),A156+($B$6-B156)/(B157-B156)*(A157-A156),""))</f>
        <v/>
      </c>
    </row>
    <row r="158" customFormat="false" ht="15" hidden="false" customHeight="true" outlineLevel="0" collapsed="false">
      <c r="A158" s="33"/>
      <c r="B158" s="33"/>
      <c r="C158" s="34"/>
      <c r="D158" s="30" t="str">
        <f aca="false">IF(OR(A158="",A157="",A158=A157),"",(B158-B157)/(A158-A157))</f>
        <v/>
      </c>
      <c r="E158" s="26" t="str">
        <f aca="false">IF(OR(B158="",B157="",$B$6=""),"",IF(AND(B157&lt;$B$6,B158&gt;=$B$6),A157+($B$6-B157)/(B158-B157)*(A158-A157),""))</f>
        <v/>
      </c>
    </row>
    <row r="159" customFormat="false" ht="15" hidden="false" customHeight="true" outlineLevel="0" collapsed="false">
      <c r="A159" s="33"/>
      <c r="B159" s="33"/>
      <c r="C159" s="34"/>
      <c r="D159" s="30" t="str">
        <f aca="false">IF(OR(A159="",A158="",A159=A158),"",(B159-B158)/(A159-A158))</f>
        <v/>
      </c>
      <c r="E159" s="26" t="str">
        <f aca="false">IF(OR(B159="",B158="",$B$6=""),"",IF(AND(B158&lt;$B$6,B159&gt;=$B$6),A158+($B$6-B158)/(B159-B158)*(A159-A158),""))</f>
        <v/>
      </c>
    </row>
    <row r="160" customFormat="false" ht="15" hidden="false" customHeight="true" outlineLevel="0" collapsed="false">
      <c r="A160" s="33"/>
      <c r="B160" s="33"/>
      <c r="C160" s="34"/>
      <c r="D160" s="30" t="str">
        <f aca="false">IF(OR(A160="",A159="",A160=A159),"",(B160-B159)/(A160-A159))</f>
        <v/>
      </c>
      <c r="E160" s="26" t="str">
        <f aca="false">IF(OR(B160="",B159="",$B$6=""),"",IF(AND(B159&lt;$B$6,B160&gt;=$B$6),A159+($B$6-B159)/(B160-B159)*(A160-A159),""))</f>
        <v/>
      </c>
    </row>
    <row r="161" customFormat="false" ht="15" hidden="false" customHeight="true" outlineLevel="0" collapsed="false">
      <c r="A161" s="33"/>
      <c r="B161" s="33"/>
      <c r="C161" s="34"/>
      <c r="D161" s="30" t="str">
        <f aca="false">IF(OR(A161="",A160="",A161=A160),"",(B161-B160)/(A161-A160))</f>
        <v/>
      </c>
      <c r="E161" s="26" t="str">
        <f aca="false">IF(OR(B161="",B160="",$B$6=""),"",IF(AND(B160&lt;$B$6,B161&gt;=$B$6),A160+($B$6-B160)/(B161-B160)*(A161-A160),""))</f>
        <v/>
      </c>
    </row>
    <row r="162" customFormat="false" ht="15" hidden="false" customHeight="true" outlineLevel="0" collapsed="false">
      <c r="A162" s="33"/>
      <c r="B162" s="33"/>
      <c r="C162" s="34"/>
      <c r="D162" s="30" t="str">
        <f aca="false">IF(OR(A162="",A161="",A162=A161),"",(B162-B161)/(A162-A161))</f>
        <v/>
      </c>
      <c r="E162" s="26" t="str">
        <f aca="false">IF(OR(B162="",B161="",$B$6=""),"",IF(AND(B161&lt;$B$6,B162&gt;=$B$6),A161+($B$6-B161)/(B162-B161)*(A162-A161),""))</f>
        <v/>
      </c>
    </row>
    <row r="163" customFormat="false" ht="15" hidden="false" customHeight="true" outlineLevel="0" collapsed="false">
      <c r="A163" s="33"/>
      <c r="B163" s="33"/>
      <c r="C163" s="34"/>
      <c r="D163" s="30" t="str">
        <f aca="false">IF(OR(A163="",A162="",A163=A162),"",(B163-B162)/(A163-A162))</f>
        <v/>
      </c>
      <c r="E163" s="26" t="str">
        <f aca="false">IF(OR(B163="",B162="",$B$6=""),"",IF(AND(B162&lt;$B$6,B163&gt;=$B$6),A162+($B$6-B162)/(B163-B162)*(A163-A162),""))</f>
        <v/>
      </c>
    </row>
    <row r="164" customFormat="false" ht="15" hidden="false" customHeight="true" outlineLevel="0" collapsed="false">
      <c r="A164" s="33"/>
      <c r="B164" s="33"/>
      <c r="C164" s="34"/>
      <c r="D164" s="30" t="str">
        <f aca="false">IF(OR(A164="",A163="",A164=A163),"",(B164-B163)/(A164-A163))</f>
        <v/>
      </c>
      <c r="E164" s="26" t="str">
        <f aca="false">IF(OR(B164="",B163="",$B$6=""),"",IF(AND(B163&lt;$B$6,B164&gt;=$B$6),A163+($B$6-B163)/(B164-B163)*(A164-A163),""))</f>
        <v/>
      </c>
    </row>
    <row r="165" customFormat="false" ht="15" hidden="false" customHeight="true" outlineLevel="0" collapsed="false">
      <c r="A165" s="33"/>
      <c r="B165" s="33"/>
      <c r="C165" s="34"/>
      <c r="D165" s="30" t="str">
        <f aca="false">IF(OR(A165="",A164="",A165=A164),"",(B165-B164)/(A165-A164))</f>
        <v/>
      </c>
      <c r="E165" s="26" t="str">
        <f aca="false">IF(OR(B165="",B164="",$B$6=""),"",IF(AND(B164&lt;$B$6,B165&gt;=$B$6),A164+($B$6-B164)/(B165-B164)*(A165-A164),""))</f>
        <v/>
      </c>
    </row>
    <row r="166" customFormat="false" ht="15" hidden="false" customHeight="true" outlineLevel="0" collapsed="false">
      <c r="A166" s="33"/>
      <c r="B166" s="33"/>
      <c r="C166" s="34"/>
      <c r="D166" s="30" t="str">
        <f aca="false">IF(OR(A166="",A165="",A166=A165),"",(B166-B165)/(A166-A165))</f>
        <v/>
      </c>
      <c r="E166" s="26" t="str">
        <f aca="false">IF(OR(B166="",B165="",$B$6=""),"",IF(AND(B165&lt;$B$6,B166&gt;=$B$6),A165+($B$6-B165)/(B166-B165)*(A166-A165),""))</f>
        <v/>
      </c>
    </row>
    <row r="167" customFormat="false" ht="15" hidden="false" customHeight="true" outlineLevel="0" collapsed="false">
      <c r="A167" s="33"/>
      <c r="B167" s="33"/>
      <c r="C167" s="34"/>
      <c r="D167" s="30" t="str">
        <f aca="false">IF(OR(A167="",A166="",A167=A166),"",(B167-B166)/(A167-A166))</f>
        <v/>
      </c>
      <c r="E167" s="26" t="str">
        <f aca="false">IF(OR(B167="",B166="",$B$6=""),"",IF(AND(B166&lt;$B$6,B167&gt;=$B$6),A166+($B$6-B166)/(B167-B166)*(A167-A166),""))</f>
        <v/>
      </c>
    </row>
    <row r="168" customFormat="false" ht="15" hidden="false" customHeight="true" outlineLevel="0" collapsed="false">
      <c r="A168" s="33"/>
      <c r="B168" s="33"/>
      <c r="C168" s="34"/>
      <c r="D168" s="30" t="str">
        <f aca="false">IF(OR(A168="",A167="",A168=A167),"",(B168-B167)/(A168-A167))</f>
        <v/>
      </c>
      <c r="E168" s="26" t="str">
        <f aca="false">IF(OR(B168="",B167="",$B$6=""),"",IF(AND(B167&lt;$B$6,B168&gt;=$B$6),A167+($B$6-B167)/(B168-B167)*(A168-A167),""))</f>
        <v/>
      </c>
    </row>
    <row r="169" customFormat="false" ht="15" hidden="false" customHeight="true" outlineLevel="0" collapsed="false">
      <c r="A169" s="33"/>
      <c r="B169" s="33"/>
      <c r="C169" s="34"/>
      <c r="D169" s="30" t="str">
        <f aca="false">IF(OR(A169="",A168="",A169=A168),"",(B169-B168)/(A169-A168))</f>
        <v/>
      </c>
      <c r="E169" s="26" t="str">
        <f aca="false">IF(OR(B169="",B168="",$B$6=""),"",IF(AND(B168&lt;$B$6,B169&gt;=$B$6),A168+($B$6-B168)/(B169-B168)*(A169-A168),""))</f>
        <v/>
      </c>
    </row>
    <row r="170" customFormat="false" ht="15" hidden="false" customHeight="true" outlineLevel="0" collapsed="false">
      <c r="A170" s="33"/>
      <c r="B170" s="33"/>
      <c r="C170" s="34"/>
      <c r="D170" s="30" t="str">
        <f aca="false">IF(OR(A170="",A169="",A170=A169),"",(B170-B169)/(A170-A169))</f>
        <v/>
      </c>
      <c r="E170" s="26" t="str">
        <f aca="false">IF(OR(B170="",B169="",$B$6=""),"",IF(AND(B169&lt;$B$6,B170&gt;=$B$6),A169+($B$6-B169)/(B170-B169)*(A170-A169),""))</f>
        <v/>
      </c>
    </row>
    <row r="171" customFormat="false" ht="15" hidden="false" customHeight="true" outlineLevel="0" collapsed="false">
      <c r="A171" s="33"/>
      <c r="B171" s="33"/>
      <c r="C171" s="34"/>
      <c r="D171" s="30" t="str">
        <f aca="false">IF(OR(A171="",A170="",A171=A170),"",(B171-B170)/(A171-A170))</f>
        <v/>
      </c>
      <c r="E171" s="26" t="str">
        <f aca="false">IF(OR(B171="",B170="",$B$6=""),"",IF(AND(B170&lt;$B$6,B171&gt;=$B$6),A170+($B$6-B170)/(B171-B170)*(A171-A170),""))</f>
        <v/>
      </c>
    </row>
    <row r="172" customFormat="false" ht="15" hidden="false" customHeight="true" outlineLevel="0" collapsed="false">
      <c r="A172" s="33"/>
      <c r="B172" s="33"/>
      <c r="C172" s="34"/>
      <c r="D172" s="30" t="str">
        <f aca="false">IF(OR(A172="",A171="",A172=A171),"",(B172-B171)/(A172-A171))</f>
        <v/>
      </c>
      <c r="E172" s="26" t="str">
        <f aca="false">IF(OR(B172="",B171="",$B$6=""),"",IF(AND(B171&lt;$B$6,B172&gt;=$B$6),A171+($B$6-B171)/(B172-B171)*(A172-A171),""))</f>
        <v/>
      </c>
    </row>
    <row r="173" customFormat="false" ht="15" hidden="false" customHeight="true" outlineLevel="0" collapsed="false">
      <c r="A173" s="33"/>
      <c r="B173" s="33"/>
      <c r="C173" s="34"/>
      <c r="D173" s="30" t="str">
        <f aca="false">IF(OR(A173="",A172="",A173=A172),"",(B173-B172)/(A173-A172))</f>
        <v/>
      </c>
      <c r="E173" s="26" t="str">
        <f aca="false">IF(OR(B173="",B172="",$B$6=""),"",IF(AND(B172&lt;$B$6,B173&gt;=$B$6),A172+($B$6-B172)/(B173-B172)*(A173-A172),""))</f>
        <v/>
      </c>
    </row>
    <row r="174" customFormat="false" ht="15" hidden="false" customHeight="true" outlineLevel="0" collapsed="false">
      <c r="A174" s="33"/>
      <c r="B174" s="33"/>
      <c r="C174" s="34"/>
      <c r="D174" s="30" t="str">
        <f aca="false">IF(OR(A174="",A173="",A174=A173),"",(B174-B173)/(A174-A173))</f>
        <v/>
      </c>
      <c r="E174" s="26" t="str">
        <f aca="false">IF(OR(B174="",B173="",$B$6=""),"",IF(AND(B173&lt;$B$6,B174&gt;=$B$6),A173+($B$6-B173)/(B174-B173)*(A174-A173),""))</f>
        <v/>
      </c>
    </row>
    <row r="175" customFormat="false" ht="15" hidden="false" customHeight="true" outlineLevel="0" collapsed="false">
      <c r="A175" s="33"/>
      <c r="B175" s="33"/>
      <c r="C175" s="34"/>
      <c r="D175" s="30" t="str">
        <f aca="false">IF(OR(A175="",A174="",A175=A174),"",(B175-B174)/(A175-A174))</f>
        <v/>
      </c>
      <c r="E175" s="26" t="str">
        <f aca="false">IF(OR(B175="",B174="",$B$6=""),"",IF(AND(B174&lt;$B$6,B175&gt;=$B$6),A174+($B$6-B174)/(B175-B174)*(A175-A174),""))</f>
        <v/>
      </c>
    </row>
    <row r="176" customFormat="false" ht="15" hidden="false" customHeight="true" outlineLevel="0" collapsed="false">
      <c r="A176" s="33"/>
      <c r="B176" s="33"/>
      <c r="C176" s="34"/>
      <c r="D176" s="30" t="str">
        <f aca="false">IF(OR(A176="",A175="",A176=A175),"",(B176-B175)/(A176-A175))</f>
        <v/>
      </c>
      <c r="E176" s="26" t="str">
        <f aca="false">IF(OR(B176="",B175="",$B$6=""),"",IF(AND(B175&lt;$B$6,B176&gt;=$B$6),A175+($B$6-B175)/(B176-B175)*(A176-A175),""))</f>
        <v/>
      </c>
    </row>
    <row r="177" customFormat="false" ht="15" hidden="false" customHeight="true" outlineLevel="0" collapsed="false">
      <c r="A177" s="33"/>
      <c r="B177" s="33"/>
      <c r="C177" s="34"/>
      <c r="D177" s="30" t="str">
        <f aca="false">IF(OR(A177="",A176="",A177=A176),"",(B177-B176)/(A177-A176))</f>
        <v/>
      </c>
      <c r="E177" s="26" t="str">
        <f aca="false">IF(OR(B177="",B176="",$B$6=""),"",IF(AND(B176&lt;$B$6,B177&gt;=$B$6),A176+($B$6-B176)/(B177-B176)*(A177-A176),""))</f>
        <v/>
      </c>
    </row>
    <row r="178" customFormat="false" ht="15" hidden="false" customHeight="true" outlineLevel="0" collapsed="false">
      <c r="A178" s="33"/>
      <c r="B178" s="33"/>
      <c r="C178" s="34"/>
      <c r="D178" s="30" t="str">
        <f aca="false">IF(OR(A178="",A177="",A178=A177),"",(B178-B177)/(A178-A177))</f>
        <v/>
      </c>
      <c r="E178" s="26" t="str">
        <f aca="false">IF(OR(B178="",B177="",$B$6=""),"",IF(AND(B177&lt;$B$6,B178&gt;=$B$6),A177+($B$6-B177)/(B178-B177)*(A178-A177),""))</f>
        <v/>
      </c>
    </row>
    <row r="179" customFormat="false" ht="15" hidden="false" customHeight="true" outlineLevel="0" collapsed="false">
      <c r="A179" s="33"/>
      <c r="B179" s="33"/>
      <c r="C179" s="34"/>
      <c r="D179" s="30" t="str">
        <f aca="false">IF(OR(A179="",A178="",A179=A178),"",(B179-B178)/(A179-A178))</f>
        <v/>
      </c>
      <c r="E179" s="26" t="str">
        <f aca="false">IF(OR(B179="",B178="",$B$6=""),"",IF(AND(B178&lt;$B$6,B179&gt;=$B$6),A178+($B$6-B178)/(B179-B178)*(A179-A178),""))</f>
        <v/>
      </c>
    </row>
    <row r="180" customFormat="false" ht="15" hidden="false" customHeight="true" outlineLevel="0" collapsed="false">
      <c r="A180" s="33"/>
      <c r="B180" s="33"/>
      <c r="C180" s="34"/>
      <c r="D180" s="30" t="str">
        <f aca="false">IF(OR(A180="",A179="",A180=A179),"",(B180-B179)/(A180-A179))</f>
        <v/>
      </c>
      <c r="E180" s="26" t="str">
        <f aca="false">IF(OR(B180="",B179="",$B$6=""),"",IF(AND(B179&lt;$B$6,B180&gt;=$B$6),A179+($B$6-B179)/(B180-B179)*(A180-A179),""))</f>
        <v/>
      </c>
    </row>
    <row r="181" customFormat="false" ht="15" hidden="false" customHeight="true" outlineLevel="0" collapsed="false">
      <c r="A181" s="33"/>
      <c r="B181" s="33"/>
      <c r="C181" s="34"/>
      <c r="D181" s="30" t="str">
        <f aca="false">IF(OR(A181="",A180="",A181=A180),"",(B181-B180)/(A181-A180))</f>
        <v/>
      </c>
      <c r="E181" s="26" t="str">
        <f aca="false">IF(OR(B181="",B180="",$B$6=""),"",IF(AND(B180&lt;$B$6,B181&gt;=$B$6),A180+($B$6-B180)/(B181-B180)*(A181-A180),""))</f>
        <v/>
      </c>
    </row>
    <row r="182" customFormat="false" ht="15" hidden="false" customHeight="true" outlineLevel="0" collapsed="false">
      <c r="A182" s="33"/>
      <c r="B182" s="33"/>
      <c r="C182" s="34"/>
      <c r="D182" s="30" t="str">
        <f aca="false">IF(OR(A182="",A181="",A182=A181),"",(B182-B181)/(A182-A181))</f>
        <v/>
      </c>
      <c r="E182" s="26" t="str">
        <f aca="false">IF(OR(B182="",B181="",$B$6=""),"",IF(AND(B181&lt;$B$6,B182&gt;=$B$6),A181+($B$6-B181)/(B182-B181)*(A182-A181),""))</f>
        <v/>
      </c>
    </row>
    <row r="183" customFormat="false" ht="15" hidden="false" customHeight="true" outlineLevel="0" collapsed="false">
      <c r="A183" s="33"/>
      <c r="B183" s="33"/>
      <c r="C183" s="34"/>
      <c r="D183" s="30" t="str">
        <f aca="false">IF(OR(A183="",A182="",A183=A182),"",(B183-B182)/(A183-A182))</f>
        <v/>
      </c>
      <c r="E183" s="26" t="str">
        <f aca="false">IF(OR(B183="",B182="",$B$6=""),"",IF(AND(B182&lt;$B$6,B183&gt;=$B$6),A182+($B$6-B182)/(B183-B182)*(A183-A182),""))</f>
        <v/>
      </c>
    </row>
    <row r="184" customFormat="false" ht="15" hidden="false" customHeight="true" outlineLevel="0" collapsed="false">
      <c r="A184" s="33"/>
      <c r="B184" s="33"/>
      <c r="C184" s="34"/>
      <c r="D184" s="30" t="str">
        <f aca="false">IF(OR(A184="",A183="",A184=A183),"",(B184-B183)/(A184-A183))</f>
        <v/>
      </c>
      <c r="E184" s="26" t="str">
        <f aca="false">IF(OR(B184="",B183="",$B$6=""),"",IF(AND(B183&lt;$B$6,B184&gt;=$B$6),A183+($B$6-B183)/(B184-B183)*(A184-A183),""))</f>
        <v/>
      </c>
    </row>
    <row r="185" customFormat="false" ht="15" hidden="false" customHeight="true" outlineLevel="0" collapsed="false">
      <c r="A185" s="33"/>
      <c r="B185" s="33"/>
      <c r="C185" s="34"/>
      <c r="D185" s="30" t="str">
        <f aca="false">IF(OR(A185="",A184="",A185=A184),"",(B185-B184)/(A185-A184))</f>
        <v/>
      </c>
      <c r="E185" s="26" t="str">
        <f aca="false">IF(OR(B185="",B184="",$B$6=""),"",IF(AND(B184&lt;$B$6,B185&gt;=$B$6),A184+($B$6-B184)/(B185-B184)*(A185-A184),""))</f>
        <v/>
      </c>
    </row>
    <row r="186" customFormat="false" ht="15" hidden="false" customHeight="true" outlineLevel="0" collapsed="false">
      <c r="A186" s="33"/>
      <c r="B186" s="33"/>
      <c r="C186" s="34"/>
      <c r="D186" s="30" t="str">
        <f aca="false">IF(OR(A186="",A185="",A186=A185),"",(B186-B185)/(A186-A185))</f>
        <v/>
      </c>
      <c r="E186" s="26" t="str">
        <f aca="false">IF(OR(B186="",B185="",$B$6=""),"",IF(AND(B185&lt;$B$6,B186&gt;=$B$6),A185+($B$6-B185)/(B186-B185)*(A186-A185),""))</f>
        <v/>
      </c>
    </row>
    <row r="187" customFormat="false" ht="15" hidden="false" customHeight="true" outlineLevel="0" collapsed="false">
      <c r="A187" s="33"/>
      <c r="B187" s="33"/>
      <c r="C187" s="34"/>
      <c r="D187" s="30" t="str">
        <f aca="false">IF(OR(A187="",A186="",A187=A186),"",(B187-B186)/(A187-A186))</f>
        <v/>
      </c>
      <c r="E187" s="26" t="str">
        <f aca="false">IF(OR(B187="",B186="",$B$6=""),"",IF(AND(B186&lt;$B$6,B187&gt;=$B$6),A186+($B$6-B186)/(B187-B186)*(A187-A186),""))</f>
        <v/>
      </c>
    </row>
    <row r="188" customFormat="false" ht="15" hidden="false" customHeight="true" outlineLevel="0" collapsed="false">
      <c r="A188" s="33"/>
      <c r="B188" s="33"/>
      <c r="C188" s="34"/>
      <c r="D188" s="30" t="str">
        <f aca="false">IF(OR(A188="",A187="",A188=A187),"",(B188-B187)/(A188-A187))</f>
        <v/>
      </c>
      <c r="E188" s="26" t="str">
        <f aca="false">IF(OR(B188="",B187="",$B$6=""),"",IF(AND(B187&lt;$B$6,B188&gt;=$B$6),A187+($B$6-B187)/(B188-B187)*(A188-A187),""))</f>
        <v/>
      </c>
    </row>
    <row r="189" customFormat="false" ht="15" hidden="false" customHeight="true" outlineLevel="0" collapsed="false">
      <c r="A189" s="33"/>
      <c r="B189" s="33"/>
      <c r="C189" s="34"/>
      <c r="D189" s="30" t="str">
        <f aca="false">IF(OR(A189="",A188="",A189=A188),"",(B189-B188)/(A189-A188))</f>
        <v/>
      </c>
      <c r="E189" s="26" t="str">
        <f aca="false">IF(OR(B189="",B188="",$B$6=""),"",IF(AND(B188&lt;$B$6,B189&gt;=$B$6),A188+($B$6-B188)/(B189-B188)*(A189-A188),""))</f>
        <v/>
      </c>
    </row>
    <row r="190" customFormat="false" ht="15" hidden="false" customHeight="true" outlineLevel="0" collapsed="false">
      <c r="A190" s="33"/>
      <c r="B190" s="33"/>
      <c r="C190" s="34"/>
      <c r="D190" s="30" t="str">
        <f aca="false">IF(OR(A190="",A189="",A190=A189),"",(B190-B189)/(A190-A189))</f>
        <v/>
      </c>
      <c r="E190" s="26" t="str">
        <f aca="false">IF(OR(B190="",B189="",$B$6=""),"",IF(AND(B189&lt;$B$6,B190&gt;=$B$6),A189+($B$6-B189)/(B190-B189)*(A190-A189),""))</f>
        <v/>
      </c>
    </row>
    <row r="191" customFormat="false" ht="15" hidden="false" customHeight="true" outlineLevel="0" collapsed="false">
      <c r="A191" s="33"/>
      <c r="B191" s="33"/>
      <c r="C191" s="34"/>
      <c r="D191" s="30" t="str">
        <f aca="false">IF(OR(A191="",A190="",A191=A190),"",(B191-B190)/(A191-A190))</f>
        <v/>
      </c>
      <c r="E191" s="26" t="str">
        <f aca="false">IF(OR(B191="",B190="",$B$6=""),"",IF(AND(B190&lt;$B$6,B191&gt;=$B$6),A190+($B$6-B190)/(B191-B190)*(A191-A190),""))</f>
        <v/>
      </c>
    </row>
    <row r="192" customFormat="false" ht="15" hidden="false" customHeight="true" outlineLevel="0" collapsed="false">
      <c r="A192" s="33"/>
      <c r="B192" s="33"/>
      <c r="C192" s="34"/>
      <c r="D192" s="30" t="str">
        <f aca="false">IF(OR(A192="",A191="",A192=A191),"",(B192-B191)/(A192-A191))</f>
        <v/>
      </c>
      <c r="E192" s="26" t="str">
        <f aca="false">IF(OR(B192="",B191="",$B$6=""),"",IF(AND(B191&lt;$B$6,B192&gt;=$B$6),A191+($B$6-B191)/(B192-B191)*(A192-A191),""))</f>
        <v/>
      </c>
    </row>
    <row r="193" customFormat="false" ht="15" hidden="false" customHeight="true" outlineLevel="0" collapsed="false">
      <c r="A193" s="33"/>
      <c r="B193" s="33"/>
      <c r="C193" s="34"/>
      <c r="D193" s="30" t="str">
        <f aca="false">IF(OR(A193="",A192="",A193=A192),"",(B193-B192)/(A193-A192))</f>
        <v/>
      </c>
      <c r="E193" s="26" t="str">
        <f aca="false">IF(OR(B193="",B192="",$B$6=""),"",IF(AND(B192&lt;$B$6,B193&gt;=$B$6),A192+($B$6-B192)/(B193-B192)*(A193-A192),""))</f>
        <v/>
      </c>
    </row>
    <row r="194" customFormat="false" ht="15" hidden="false" customHeight="true" outlineLevel="0" collapsed="false">
      <c r="A194" s="33"/>
      <c r="B194" s="33"/>
      <c r="C194" s="34"/>
      <c r="D194" s="30" t="str">
        <f aca="false">IF(OR(A194="",A193="",A194=A193),"",(B194-B193)/(A194-A193))</f>
        <v/>
      </c>
      <c r="E194" s="26" t="str">
        <f aca="false">IF(OR(B194="",B193="",$B$6=""),"",IF(AND(B193&lt;$B$6,B194&gt;=$B$6),A193+($B$6-B193)/(B194-B193)*(A194-A193),""))</f>
        <v/>
      </c>
    </row>
    <row r="195" customFormat="false" ht="15" hidden="false" customHeight="true" outlineLevel="0" collapsed="false">
      <c r="A195" s="33"/>
      <c r="B195" s="33"/>
      <c r="C195" s="34"/>
      <c r="D195" s="30" t="str">
        <f aca="false">IF(OR(A195="",A194="",A195=A194),"",(B195-B194)/(A195-A194))</f>
        <v/>
      </c>
      <c r="E195" s="26" t="str">
        <f aca="false">IF(OR(B195="",B194="",$B$6=""),"",IF(AND(B194&lt;$B$6,B195&gt;=$B$6),A194+($B$6-B194)/(B195-B194)*(A195-A194),""))</f>
        <v/>
      </c>
    </row>
    <row r="196" customFormat="false" ht="15" hidden="false" customHeight="true" outlineLevel="0" collapsed="false">
      <c r="A196" s="33"/>
      <c r="B196" s="33"/>
      <c r="C196" s="34"/>
      <c r="D196" s="30" t="str">
        <f aca="false">IF(OR(A196="",A195="",A196=A195),"",(B196-B195)/(A196-A195))</f>
        <v/>
      </c>
      <c r="E196" s="26" t="str">
        <f aca="false">IF(OR(B196="",B195="",$B$6=""),"",IF(AND(B195&lt;$B$6,B196&gt;=$B$6),A195+($B$6-B195)/(B196-B195)*(A196-A195),""))</f>
        <v/>
      </c>
    </row>
    <row r="197" customFormat="false" ht="15" hidden="false" customHeight="true" outlineLevel="0" collapsed="false">
      <c r="A197" s="33"/>
      <c r="B197" s="33"/>
      <c r="C197" s="34"/>
      <c r="D197" s="30" t="str">
        <f aca="false">IF(OR(A197="",A196="",A197=A196),"",(B197-B196)/(A197-A196))</f>
        <v/>
      </c>
      <c r="E197" s="26" t="str">
        <f aca="false">IF(OR(B197="",B196="",$B$6=""),"",IF(AND(B196&lt;$B$6,B197&gt;=$B$6),A196+($B$6-B196)/(B197-B196)*(A197-A196),""))</f>
        <v/>
      </c>
    </row>
    <row r="198" customFormat="false" ht="15" hidden="false" customHeight="true" outlineLevel="0" collapsed="false">
      <c r="A198" s="33"/>
      <c r="B198" s="33"/>
      <c r="C198" s="34"/>
      <c r="D198" s="30" t="str">
        <f aca="false">IF(OR(A198="",A197="",A198=A197),"",(B198-B197)/(A198-A197))</f>
        <v/>
      </c>
      <c r="E198" s="26" t="str">
        <f aca="false">IF(OR(B198="",B197="",$B$6=""),"",IF(AND(B197&lt;$B$6,B198&gt;=$B$6),A197+($B$6-B197)/(B198-B197)*(A198-A197),""))</f>
        <v/>
      </c>
    </row>
    <row r="199" customFormat="false" ht="15" hidden="false" customHeight="true" outlineLevel="0" collapsed="false">
      <c r="A199" s="33"/>
      <c r="B199" s="33"/>
      <c r="C199" s="34"/>
      <c r="D199" s="30" t="str">
        <f aca="false">IF(OR(A199="",A198="",A199=A198),"",(B199-B198)/(A199-A198))</f>
        <v/>
      </c>
      <c r="E199" s="26" t="str">
        <f aca="false">IF(OR(B199="",B198="",$B$6=""),"",IF(AND(B198&lt;$B$6,B199&gt;=$B$6),A198+($B$6-B198)/(B199-B198)*(A199-A198),""))</f>
        <v/>
      </c>
    </row>
    <row r="200" customFormat="false" ht="15" hidden="false" customHeight="true" outlineLevel="0" collapsed="false">
      <c r="A200" s="33"/>
      <c r="B200" s="33"/>
      <c r="C200" s="34"/>
      <c r="D200" s="30" t="str">
        <f aca="false">IF(OR(A200="",A199="",A200=A199),"",(B200-B199)/(A200-A199))</f>
        <v/>
      </c>
      <c r="E200" s="26" t="str">
        <f aca="false">IF(OR(B200="",B199="",$B$6=""),"",IF(AND(B199&lt;$B$6,B200&gt;=$B$6),A199+($B$6-B199)/(B200-B199)*(A200-A199),""))</f>
        <v/>
      </c>
    </row>
    <row r="201" customFormat="false" ht="15" hidden="false" customHeight="true" outlineLevel="0" collapsed="false">
      <c r="A201" s="33"/>
      <c r="B201" s="33"/>
      <c r="C201" s="34"/>
      <c r="D201" s="30" t="str">
        <f aca="false">IF(OR(A201="",A200="",A201=A200),"",(B201-B200)/(A201-A200))</f>
        <v/>
      </c>
      <c r="E201" s="26" t="str">
        <f aca="false">IF(OR(B201="",B200="",$B$6=""),"",IF(AND(B200&lt;$B$6,B201&gt;=$B$6),A200+($B$6-B200)/(B201-B200)*(A201-A200),""))</f>
        <v/>
      </c>
    </row>
    <row r="202" customFormat="false" ht="15" hidden="false" customHeight="true" outlineLevel="0" collapsed="false">
      <c r="A202" s="33"/>
      <c r="B202" s="33"/>
      <c r="C202" s="34"/>
      <c r="D202" s="30" t="str">
        <f aca="false">IF(OR(A202="",A201="",A202=A201),"",(B202-B201)/(A202-A201))</f>
        <v/>
      </c>
      <c r="E202" s="26" t="str">
        <f aca="false">IF(OR(B202="",B201="",$B$6=""),"",IF(AND(B201&lt;$B$6,B202&gt;=$B$6),A201+($B$6-B201)/(B202-B201)*(A202-A201),""))</f>
        <v/>
      </c>
    </row>
    <row r="203" customFormat="false" ht="15" hidden="false" customHeight="true" outlineLevel="0" collapsed="false">
      <c r="A203" s="33"/>
      <c r="B203" s="33"/>
      <c r="C203" s="34"/>
      <c r="D203" s="30" t="str">
        <f aca="false">IF(OR(A203="",A202="",A203=A202),"",(B203-B202)/(A203-A202))</f>
        <v/>
      </c>
      <c r="E203" s="26" t="str">
        <f aca="false">IF(OR(B203="",B202="",$B$6=""),"",IF(AND(B202&lt;$B$6,B203&gt;=$B$6),A202+($B$6-B202)/(B203-B202)*(A203-A202),""))</f>
        <v/>
      </c>
    </row>
    <row r="204" customFormat="false" ht="15" hidden="false" customHeight="true" outlineLevel="0" collapsed="false">
      <c r="A204" s="33"/>
      <c r="B204" s="33"/>
      <c r="C204" s="34"/>
      <c r="D204" s="30" t="str">
        <f aca="false">IF(OR(A204="",A203="",A204=A203),"",(B204-B203)/(A204-A203))</f>
        <v/>
      </c>
      <c r="E204" s="26" t="str">
        <f aca="false">IF(OR(B204="",B203="",$B$6=""),"",IF(AND(B203&lt;$B$6,B204&gt;=$B$6),A203+($B$6-B203)/(B204-B203)*(A204-A203),""))</f>
        <v/>
      </c>
    </row>
    <row r="205" customFormat="false" ht="15" hidden="false" customHeight="true" outlineLevel="0" collapsed="false">
      <c r="A205" s="33"/>
      <c r="B205" s="33"/>
      <c r="C205" s="34"/>
      <c r="D205" s="30" t="str">
        <f aca="false">IF(OR(A205="",A204="",A205=A204),"",(B205-B204)/(A205-A204))</f>
        <v/>
      </c>
      <c r="E205" s="26" t="str">
        <f aca="false">IF(OR(B205="",B204="",$B$6=""),"",IF(AND(B204&lt;$B$6,B205&gt;=$B$6),A204+($B$6-B204)/(B205-B204)*(A205-A204),""))</f>
        <v/>
      </c>
    </row>
    <row r="206" customFormat="false" ht="15" hidden="false" customHeight="true" outlineLevel="0" collapsed="false">
      <c r="A206" s="33"/>
      <c r="B206" s="33"/>
      <c r="C206" s="34"/>
      <c r="D206" s="30" t="str">
        <f aca="false">IF(OR(A206="",A205="",A206=A205),"",(B206-B205)/(A206-A205))</f>
        <v/>
      </c>
      <c r="E206" s="26" t="str">
        <f aca="false">IF(OR(B206="",B205="",$B$6=""),"",IF(AND(B205&lt;$B$6,B206&gt;=$B$6),A205+($B$6-B205)/(B206-B205)*(A206-A205),""))</f>
        <v/>
      </c>
    </row>
    <row r="207" customFormat="false" ht="15" hidden="false" customHeight="true" outlineLevel="0" collapsed="false">
      <c r="A207" s="33"/>
      <c r="B207" s="33"/>
      <c r="C207" s="34"/>
      <c r="D207" s="30" t="str">
        <f aca="false">IF(OR(A207="",A206="",A207=A206),"",(B207-B206)/(A207-A206))</f>
        <v/>
      </c>
      <c r="E207" s="26" t="str">
        <f aca="false">IF(OR(B207="",B206="",$B$6=""),"",IF(AND(B206&lt;$B$6,B207&gt;=$B$6),A206+($B$6-B206)/(B207-B206)*(A207-A206),""))</f>
        <v/>
      </c>
    </row>
    <row r="208" customFormat="false" ht="15" hidden="false" customHeight="true" outlineLevel="0" collapsed="false">
      <c r="A208" s="33"/>
      <c r="B208" s="33"/>
      <c r="C208" s="34"/>
      <c r="D208" s="30" t="str">
        <f aca="false">IF(OR(A208="",A207="",A208=A207),"",(B208-B207)/(A208-A207))</f>
        <v/>
      </c>
      <c r="E208" s="26" t="str">
        <f aca="false">IF(OR(B208="",B207="",$B$6=""),"",IF(AND(B207&lt;$B$6,B208&gt;=$B$6),A207+($B$6-B207)/(B208-B207)*(A208-A207),""))</f>
        <v/>
      </c>
    </row>
    <row r="209" customFormat="false" ht="15" hidden="false" customHeight="true" outlineLevel="0" collapsed="false">
      <c r="A209" s="33"/>
      <c r="B209" s="33"/>
      <c r="C209" s="34"/>
      <c r="D209" s="30" t="str">
        <f aca="false">IF(OR(A209="",A208="",A209=A208),"",(B209-B208)/(A209-A208))</f>
        <v/>
      </c>
      <c r="E209" s="26" t="str">
        <f aca="false">IF(OR(B209="",B208="",$B$6=""),"",IF(AND(B208&lt;$B$6,B209&gt;=$B$6),A208+($B$6-B208)/(B209-B208)*(A209-A208),""))</f>
        <v/>
      </c>
    </row>
    <row r="210" customFormat="false" ht="15" hidden="false" customHeight="true" outlineLevel="0" collapsed="false">
      <c r="A210" s="33"/>
      <c r="B210" s="33"/>
      <c r="C210" s="34"/>
      <c r="D210" s="30" t="str">
        <f aca="false">IF(OR(A210="",A209="",A210=A209),"",(B210-B209)/(A210-A209))</f>
        <v/>
      </c>
      <c r="E210" s="26" t="str">
        <f aca="false">IF(OR(B210="",B209="",$B$6=""),"",IF(AND(B209&lt;$B$6,B210&gt;=$B$6),A209+($B$6-B209)/(B210-B209)*(A210-A209),""))</f>
        <v/>
      </c>
    </row>
    <row r="211" customFormat="false" ht="15" hidden="false" customHeight="true" outlineLevel="0" collapsed="false">
      <c r="A211" s="33"/>
      <c r="B211" s="33"/>
      <c r="C211" s="34"/>
      <c r="D211" s="30" t="str">
        <f aca="false">IF(OR(A211="",A210="",A211=A210),"",(B211-B210)/(A211-A210))</f>
        <v/>
      </c>
      <c r="E211" s="26" t="str">
        <f aca="false">IF(OR(B211="",B210="",$B$6=""),"",IF(AND(B210&lt;$B$6,B211&gt;=$B$6),A210+($B$6-B210)/(B211-B210)*(A211-A210),""))</f>
        <v/>
      </c>
    </row>
    <row r="212" customFormat="false" ht="15" hidden="false" customHeight="true" outlineLevel="0" collapsed="false">
      <c r="A212" s="33"/>
      <c r="B212" s="33"/>
      <c r="C212" s="34"/>
      <c r="D212" s="30" t="str">
        <f aca="false">IF(OR(A212="",A211="",A212=A211),"",(B212-B211)/(A212-A211))</f>
        <v/>
      </c>
      <c r="E212" s="26" t="str">
        <f aca="false">IF(OR(B212="",B211="",$B$6=""),"",IF(AND(B211&lt;$B$6,B212&gt;=$B$6),A211+($B$6-B211)/(B212-B211)*(A212-A211),""))</f>
        <v/>
      </c>
    </row>
    <row r="213" customFormat="false" ht="15" hidden="false" customHeight="true" outlineLevel="0" collapsed="false">
      <c r="A213" s="33"/>
      <c r="B213" s="33"/>
      <c r="C213" s="34"/>
      <c r="D213" s="30" t="str">
        <f aca="false">IF(OR(A213="",A212="",A213=A212),"",(B213-B212)/(A213-A212))</f>
        <v/>
      </c>
      <c r="E213" s="26" t="str">
        <f aca="false">IF(OR(B213="",B212="",$B$6=""),"",IF(AND(B212&lt;$B$6,B213&gt;=$B$6),A212+($B$6-B212)/(B213-B212)*(A213-A212),""))</f>
        <v/>
      </c>
    </row>
    <row r="214" customFormat="false" ht="15" hidden="false" customHeight="true" outlineLevel="0" collapsed="false">
      <c r="A214" s="33"/>
      <c r="B214" s="33"/>
      <c r="C214" s="34"/>
      <c r="D214" s="30" t="str">
        <f aca="false">IF(OR(A214="",A213="",A214=A213),"",(B214-B213)/(A214-A213))</f>
        <v/>
      </c>
      <c r="E214" s="26" t="str">
        <f aca="false">IF(OR(B214="",B213="",$B$6=""),"",IF(AND(B213&lt;$B$6,B214&gt;=$B$6),A213+($B$6-B213)/(B214-B213)*(A214-A213),""))</f>
        <v/>
      </c>
    </row>
    <row r="215" customFormat="false" ht="15" hidden="false" customHeight="true" outlineLevel="0" collapsed="false">
      <c r="A215" s="33"/>
      <c r="B215" s="33"/>
      <c r="C215" s="34"/>
      <c r="D215" s="30" t="str">
        <f aca="false">IF(OR(A215="",A214="",A215=A214),"",(B215-B214)/(A215-A214))</f>
        <v/>
      </c>
      <c r="E215" s="26" t="str">
        <f aca="false">IF(OR(B215="",B214="",$B$6=""),"",IF(AND(B214&lt;$B$6,B215&gt;=$B$6),A214+($B$6-B214)/(B215-B214)*(A215-A214),""))</f>
        <v/>
      </c>
    </row>
    <row r="216" customFormat="false" ht="15" hidden="false" customHeight="true" outlineLevel="0" collapsed="false">
      <c r="A216" s="33"/>
      <c r="B216" s="33"/>
      <c r="C216" s="34"/>
      <c r="D216" s="30" t="str">
        <f aca="false">IF(OR(A216="",A215="",A216=A215),"",(B216-B215)/(A216-A215))</f>
        <v/>
      </c>
      <c r="E216" s="26" t="str">
        <f aca="false">IF(OR(B216="",B215="",$B$6=""),"",IF(AND(B215&lt;$B$6,B216&gt;=$B$6),A215+($B$6-B215)/(B216-B215)*(A216-A215),""))</f>
        <v/>
      </c>
    </row>
    <row r="217" customFormat="false" ht="15" hidden="false" customHeight="true" outlineLevel="0" collapsed="false">
      <c r="A217" s="33"/>
      <c r="B217" s="33"/>
      <c r="C217" s="34"/>
      <c r="D217" s="30" t="str">
        <f aca="false">IF(OR(A217="",A216="",A217=A216),"",(B217-B216)/(A217-A216))</f>
        <v/>
      </c>
      <c r="E217" s="26" t="str">
        <f aca="false">IF(OR(B217="",B216="",$B$6=""),"",IF(AND(B216&lt;$B$6,B217&gt;=$B$6),A216+($B$6-B216)/(B217-B216)*(A217-A216),""))</f>
        <v/>
      </c>
    </row>
    <row r="218" customFormat="false" ht="15" hidden="false" customHeight="true" outlineLevel="0" collapsed="false">
      <c r="A218" s="33"/>
      <c r="B218" s="33"/>
      <c r="C218" s="34"/>
      <c r="D218" s="30" t="str">
        <f aca="false">IF(OR(A218="",A217="",A218=A217),"",(B218-B217)/(A218-A217))</f>
        <v/>
      </c>
      <c r="E218" s="26" t="str">
        <f aca="false">IF(OR(B218="",B217="",$B$6=""),"",IF(AND(B217&lt;$B$6,B218&gt;=$B$6),A217+($B$6-B217)/(B218-B217)*(A218-A217),""))</f>
        <v/>
      </c>
    </row>
    <row r="219" customFormat="false" ht="15" hidden="false" customHeight="true" outlineLevel="0" collapsed="false">
      <c r="A219" s="33"/>
      <c r="B219" s="33"/>
      <c r="C219" s="34"/>
      <c r="D219" s="30" t="str">
        <f aca="false">IF(OR(A219="",A218="",A219=A218),"",(B219-B218)/(A219-A218))</f>
        <v/>
      </c>
      <c r="E219" s="26" t="str">
        <f aca="false">IF(OR(B219="",B218="",$B$6=""),"",IF(AND(B218&lt;$B$6,B219&gt;=$B$6),A218+($B$6-B218)/(B219-B218)*(A219-A218),""))</f>
        <v/>
      </c>
    </row>
    <row r="220" customFormat="false" ht="15" hidden="false" customHeight="true" outlineLevel="0" collapsed="false">
      <c r="A220" s="33"/>
      <c r="B220" s="33"/>
      <c r="C220" s="34"/>
      <c r="D220" s="30" t="str">
        <f aca="false">IF(OR(A220="",A219="",A220=A219),"",(B220-B219)/(A220-A219))</f>
        <v/>
      </c>
      <c r="E220" s="26" t="str">
        <f aca="false">IF(OR(B220="",B219="",$B$6=""),"",IF(AND(B219&lt;$B$6,B220&gt;=$B$6),A219+($B$6-B219)/(B220-B219)*(A220-A219),""))</f>
        <v/>
      </c>
    </row>
    <row r="221" customFormat="false" ht="15" hidden="false" customHeight="true" outlineLevel="0" collapsed="false">
      <c r="A221" s="33"/>
      <c r="B221" s="33"/>
      <c r="C221" s="34"/>
      <c r="D221" s="30" t="str">
        <f aca="false">IF(OR(A221="",A220="",A221=A220),"",(B221-B220)/(A221-A220))</f>
        <v/>
      </c>
      <c r="E221" s="26" t="str">
        <f aca="false">IF(OR(B221="",B220="",$B$6=""),"",IF(AND(B220&lt;$B$6,B221&gt;=$B$6),A220+($B$6-B220)/(B221-B220)*(A221-A220),""))</f>
        <v/>
      </c>
    </row>
    <row r="222" customFormat="false" ht="15" hidden="false" customHeight="true" outlineLevel="0" collapsed="false">
      <c r="A222" s="33"/>
      <c r="B222" s="33"/>
      <c r="C222" s="34"/>
      <c r="D222" s="30" t="str">
        <f aca="false">IF(OR(A222="",A221="",A222=A221),"",(B222-B221)/(A222-A221))</f>
        <v/>
      </c>
      <c r="E222" s="26" t="str">
        <f aca="false">IF(OR(B222="",B221="",$B$6=""),"",IF(AND(B221&lt;$B$6,B222&gt;=$B$6),A221+($B$6-B221)/(B222-B221)*(A222-A221),""))</f>
        <v/>
      </c>
    </row>
    <row r="223" customFormat="false" ht="15" hidden="false" customHeight="true" outlineLevel="0" collapsed="false">
      <c r="A223" s="33"/>
      <c r="B223" s="33"/>
      <c r="C223" s="34"/>
      <c r="D223" s="30" t="str">
        <f aca="false">IF(OR(A223="",A222="",A223=A222),"",(B223-B222)/(A223-A222))</f>
        <v/>
      </c>
      <c r="E223" s="26" t="str">
        <f aca="false">IF(OR(B223="",B222="",$B$6=""),"",IF(AND(B222&lt;$B$6,B223&gt;=$B$6),A222+($B$6-B222)/(B223-B222)*(A223-A222),""))</f>
        <v/>
      </c>
    </row>
    <row r="224" customFormat="false" ht="15" hidden="false" customHeight="true" outlineLevel="0" collapsed="false">
      <c r="A224" s="33"/>
      <c r="B224" s="33"/>
      <c r="C224" s="34"/>
      <c r="D224" s="30" t="str">
        <f aca="false">IF(OR(A224="",A223="",A224=A223),"",(B224-B223)/(A224-A223))</f>
        <v/>
      </c>
      <c r="E224" s="26" t="str">
        <f aca="false">IF(OR(B224="",B223="",$B$6=""),"",IF(AND(B223&lt;$B$6,B224&gt;=$B$6),A223+($B$6-B223)/(B224-B223)*(A224-A223),""))</f>
        <v/>
      </c>
    </row>
    <row r="225" customFormat="false" ht="15" hidden="false" customHeight="true" outlineLevel="0" collapsed="false">
      <c r="A225" s="33"/>
      <c r="B225" s="33"/>
      <c r="C225" s="34"/>
      <c r="D225" s="30" t="str">
        <f aca="false">IF(OR(A225="",A224="",A225=A224),"",(B225-B224)/(A225-A224))</f>
        <v/>
      </c>
      <c r="E225" s="26" t="str">
        <f aca="false">IF(OR(B225="",B224="",$B$6=""),"",IF(AND(B224&lt;$B$6,B225&gt;=$B$6),A224+($B$6-B224)/(B225-B224)*(A225-A224),""))</f>
        <v/>
      </c>
    </row>
    <row r="226" customFormat="false" ht="15" hidden="false" customHeight="true" outlineLevel="0" collapsed="false">
      <c r="A226" s="33"/>
      <c r="B226" s="33"/>
      <c r="C226" s="34"/>
      <c r="D226" s="30" t="str">
        <f aca="false">IF(OR(A226="",A225="",A226=A225),"",(B226-B225)/(A226-A225))</f>
        <v/>
      </c>
      <c r="E226" s="26" t="str">
        <f aca="false">IF(OR(B226="",B225="",$B$6=""),"",IF(AND(B225&lt;$B$6,B226&gt;=$B$6),A225+($B$6-B225)/(B226-B225)*(A226-A225),""))</f>
        <v/>
      </c>
    </row>
    <row r="227" customFormat="false" ht="15" hidden="false" customHeight="true" outlineLevel="0" collapsed="false">
      <c r="A227" s="33"/>
      <c r="B227" s="33"/>
      <c r="C227" s="34"/>
      <c r="D227" s="30" t="str">
        <f aca="false">IF(OR(A227="",A226="",A227=A226),"",(B227-B226)/(A227-A226))</f>
        <v/>
      </c>
      <c r="E227" s="26" t="str">
        <f aca="false">IF(OR(B227="",B226="",$B$6=""),"",IF(AND(B226&lt;$B$6,B227&gt;=$B$6),A226+($B$6-B226)/(B227-B226)*(A227-A226),""))</f>
        <v/>
      </c>
    </row>
    <row r="228" customFormat="false" ht="15" hidden="false" customHeight="true" outlineLevel="0" collapsed="false">
      <c r="A228" s="33"/>
      <c r="B228" s="33"/>
      <c r="C228" s="34"/>
      <c r="D228" s="30" t="str">
        <f aca="false">IF(OR(A228="",A227="",A228=A227),"",(B228-B227)/(A228-A227))</f>
        <v/>
      </c>
      <c r="E228" s="26" t="str">
        <f aca="false">IF(OR(B228="",B227="",$B$6=""),"",IF(AND(B227&lt;$B$6,B228&gt;=$B$6),A227+($B$6-B227)/(B228-B227)*(A228-A227),""))</f>
        <v/>
      </c>
    </row>
    <row r="229" customFormat="false" ht="15" hidden="false" customHeight="true" outlineLevel="0" collapsed="false">
      <c r="A229" s="33"/>
      <c r="B229" s="33"/>
      <c r="C229" s="34"/>
      <c r="D229" s="30" t="str">
        <f aca="false">IF(OR(A229="",A228="",A229=A228),"",(B229-B228)/(A229-A228))</f>
        <v/>
      </c>
      <c r="E229" s="26" t="str">
        <f aca="false">IF(OR(B229="",B228="",$B$6=""),"",IF(AND(B228&lt;$B$6,B229&gt;=$B$6),A228+($B$6-B228)/(B229-B228)*(A229-A228),""))</f>
        <v/>
      </c>
    </row>
    <row r="230" customFormat="false" ht="15" hidden="false" customHeight="true" outlineLevel="0" collapsed="false">
      <c r="A230" s="33"/>
      <c r="B230" s="33"/>
      <c r="C230" s="34"/>
      <c r="D230" s="30" t="str">
        <f aca="false">IF(OR(A230="",A229="",A230=A229),"",(B230-B229)/(A230-A229))</f>
        <v/>
      </c>
      <c r="E230" s="26" t="str">
        <f aca="false">IF(OR(B230="",B229="",$B$6=""),"",IF(AND(B229&lt;$B$6,B230&gt;=$B$6),A229+($B$6-B229)/(B230-B229)*(A230-A229),""))</f>
        <v/>
      </c>
    </row>
    <row r="231" customFormat="false" ht="15" hidden="false" customHeight="true" outlineLevel="0" collapsed="false">
      <c r="A231" s="33"/>
      <c r="B231" s="33"/>
      <c r="C231" s="34"/>
      <c r="D231" s="30" t="str">
        <f aca="false">IF(OR(A231="",A230="",A231=A230),"",(B231-B230)/(A231-A230))</f>
        <v/>
      </c>
      <c r="E231" s="26" t="str">
        <f aca="false">IF(OR(B231="",B230="",$B$6=""),"",IF(AND(B230&lt;$B$6,B231&gt;=$B$6),A230+($B$6-B230)/(B231-B230)*(A231-A230),""))</f>
        <v/>
      </c>
    </row>
    <row r="232" customFormat="false" ht="15" hidden="false" customHeight="true" outlineLevel="0" collapsed="false">
      <c r="A232" s="33"/>
      <c r="B232" s="33"/>
      <c r="C232" s="34"/>
      <c r="D232" s="30" t="str">
        <f aca="false">IF(OR(A232="",A231="",A232=A231),"",(B232-B231)/(A232-A231))</f>
        <v/>
      </c>
      <c r="E232" s="26" t="str">
        <f aca="false">IF(OR(B232="",B231="",$B$6=""),"",IF(AND(B231&lt;$B$6,B232&gt;=$B$6),A231+($B$6-B231)/(B232-B231)*(A232-A231),""))</f>
        <v/>
      </c>
    </row>
    <row r="233" customFormat="false" ht="15" hidden="false" customHeight="true" outlineLevel="0" collapsed="false">
      <c r="A233" s="33"/>
      <c r="B233" s="33"/>
      <c r="C233" s="34"/>
      <c r="D233" s="30" t="str">
        <f aca="false">IF(OR(A233="",A232="",A233=A232),"",(B233-B232)/(A233-A232))</f>
        <v/>
      </c>
      <c r="E233" s="26" t="str">
        <f aca="false">IF(OR(B233="",B232="",$B$6=""),"",IF(AND(B232&lt;$B$6,B233&gt;=$B$6),A232+($B$6-B232)/(B233-B232)*(A233-A232),""))</f>
        <v/>
      </c>
    </row>
    <row r="234" customFormat="false" ht="15" hidden="false" customHeight="true" outlineLevel="0" collapsed="false">
      <c r="A234" s="33"/>
      <c r="B234" s="33"/>
      <c r="C234" s="34"/>
      <c r="D234" s="30" t="str">
        <f aca="false">IF(OR(A234="",A233="",A234=A233),"",(B234-B233)/(A234-A233))</f>
        <v/>
      </c>
      <c r="E234" s="26" t="str">
        <f aca="false">IF(OR(B234="",B233="",$B$6=""),"",IF(AND(B233&lt;$B$6,B234&gt;=$B$6),A233+($B$6-B233)/(B234-B233)*(A234-A233),""))</f>
        <v/>
      </c>
    </row>
    <row r="235" customFormat="false" ht="15" hidden="false" customHeight="true" outlineLevel="0" collapsed="false">
      <c r="A235" s="33"/>
      <c r="B235" s="33"/>
      <c r="C235" s="34"/>
      <c r="D235" s="30" t="str">
        <f aca="false">IF(OR(A235="",A234="",A235=A234),"",(B235-B234)/(A235-A234))</f>
        <v/>
      </c>
      <c r="E235" s="26" t="str">
        <f aca="false">IF(OR(B235="",B234="",$B$6=""),"",IF(AND(B234&lt;$B$6,B235&gt;=$B$6),A234+($B$6-B234)/(B235-B234)*(A235-A234),""))</f>
        <v/>
      </c>
    </row>
    <row r="236" customFormat="false" ht="15" hidden="false" customHeight="true" outlineLevel="0" collapsed="false">
      <c r="A236" s="33"/>
      <c r="B236" s="33"/>
      <c r="C236" s="34"/>
      <c r="D236" s="30" t="str">
        <f aca="false">IF(OR(A236="",A235="",A236=A235),"",(B236-B235)/(A236-A235))</f>
        <v/>
      </c>
      <c r="E236" s="26" t="str">
        <f aca="false">IF(OR(B236="",B235="",$B$6=""),"",IF(AND(B235&lt;$B$6,B236&gt;=$B$6),A235+($B$6-B235)/(B236-B235)*(A236-A235),""))</f>
        <v/>
      </c>
    </row>
    <row r="237" customFormat="false" ht="15" hidden="false" customHeight="true" outlineLevel="0" collapsed="false">
      <c r="A237" s="33"/>
      <c r="B237" s="33"/>
      <c r="C237" s="34"/>
      <c r="D237" s="30" t="str">
        <f aca="false">IF(OR(A237="",A236="",A237=A236),"",(B237-B236)/(A237-A236))</f>
        <v/>
      </c>
      <c r="E237" s="26" t="str">
        <f aca="false">IF(OR(B237="",B236="",$B$6=""),"",IF(AND(B236&lt;$B$6,B237&gt;=$B$6),A236+($B$6-B236)/(B237-B236)*(A237-A236),""))</f>
        <v/>
      </c>
    </row>
    <row r="238" customFormat="false" ht="15" hidden="false" customHeight="true" outlineLevel="0" collapsed="false">
      <c r="A238" s="33"/>
      <c r="B238" s="33"/>
      <c r="C238" s="34"/>
      <c r="D238" s="30" t="str">
        <f aca="false">IF(OR(A238="",A237="",A238=A237),"",(B238-B237)/(A238-A237))</f>
        <v/>
      </c>
      <c r="E238" s="26" t="str">
        <f aca="false">IF(OR(B238="",B237="",$B$6=""),"",IF(AND(B237&lt;$B$6,B238&gt;=$B$6),A237+($B$6-B237)/(B238-B237)*(A238-A237),""))</f>
        <v/>
      </c>
    </row>
    <row r="239" customFormat="false" ht="15" hidden="false" customHeight="true" outlineLevel="0" collapsed="false">
      <c r="A239" s="33"/>
      <c r="B239" s="33"/>
      <c r="C239" s="34"/>
      <c r="D239" s="30" t="str">
        <f aca="false">IF(OR(A239="",A238="",A239=A238),"",(B239-B238)/(A239-A238))</f>
        <v/>
      </c>
      <c r="E239" s="26" t="str">
        <f aca="false">IF(OR(B239="",B238="",$B$6=""),"",IF(AND(B238&lt;$B$6,B239&gt;=$B$6),A238+($B$6-B238)/(B239-B238)*(A239-A238),""))</f>
        <v/>
      </c>
    </row>
    <row r="240" customFormat="false" ht="15" hidden="false" customHeight="true" outlineLevel="0" collapsed="false">
      <c r="A240" s="33"/>
      <c r="B240" s="33"/>
      <c r="C240" s="34"/>
      <c r="D240" s="30" t="str">
        <f aca="false">IF(OR(A240="",A239="",A240=A239),"",(B240-B239)/(A240-A239))</f>
        <v/>
      </c>
      <c r="E240" s="26" t="str">
        <f aca="false">IF(OR(B240="",B239="",$B$6=""),"",IF(AND(B239&lt;$B$6,B240&gt;=$B$6),A239+($B$6-B239)/(B240-B239)*(A240-A239),""))</f>
        <v/>
      </c>
    </row>
    <row r="241" customFormat="false" ht="15" hidden="false" customHeight="true" outlineLevel="0" collapsed="false">
      <c r="A241" s="33"/>
      <c r="B241" s="33"/>
      <c r="C241" s="34"/>
      <c r="D241" s="30" t="str">
        <f aca="false">IF(OR(A241="",A240="",A241=A240),"",(B241-B240)/(A241-A240))</f>
        <v/>
      </c>
      <c r="E241" s="26" t="str">
        <f aca="false">IF(OR(B241="",B240="",$B$6=""),"",IF(AND(B240&lt;$B$6,B241&gt;=$B$6),A240+($B$6-B240)/(B241-B240)*(A241-A240),""))</f>
        <v/>
      </c>
    </row>
    <row r="242" customFormat="false" ht="15" hidden="false" customHeight="true" outlineLevel="0" collapsed="false">
      <c r="A242" s="33"/>
      <c r="B242" s="33"/>
      <c r="C242" s="34"/>
      <c r="D242" s="30" t="str">
        <f aca="false">IF(OR(A242="",A241="",A242=A241),"",(B242-B241)/(A242-A241))</f>
        <v/>
      </c>
      <c r="E242" s="26" t="str">
        <f aca="false">IF(OR(B242="",B241="",$B$6=""),"",IF(AND(B241&lt;$B$6,B242&gt;=$B$6),A241+($B$6-B241)/(B242-B241)*(A242-A241),""))</f>
        <v/>
      </c>
    </row>
    <row r="243" customFormat="false" ht="15" hidden="false" customHeight="true" outlineLevel="0" collapsed="false">
      <c r="A243" s="33"/>
      <c r="B243" s="33"/>
      <c r="C243" s="34"/>
      <c r="D243" s="30" t="str">
        <f aca="false">IF(OR(A243="",A242="",A243=A242),"",(B243-B242)/(A243-A242))</f>
        <v/>
      </c>
      <c r="E243" s="26" t="str">
        <f aca="false">IF(OR(B243="",B242="",$B$6=""),"",IF(AND(B242&lt;$B$6,B243&gt;=$B$6),A242+($B$6-B242)/(B243-B242)*(A243-A242),""))</f>
        <v/>
      </c>
    </row>
    <row r="244" customFormat="false" ht="15" hidden="false" customHeight="true" outlineLevel="0" collapsed="false">
      <c r="A244" s="33"/>
      <c r="B244" s="33"/>
      <c r="C244" s="34"/>
      <c r="D244" s="30" t="str">
        <f aca="false">IF(OR(A244="",A243="",A244=A243),"",(B244-B243)/(A244-A243))</f>
        <v/>
      </c>
      <c r="E244" s="26" t="str">
        <f aca="false">IF(OR(B244="",B243="",$B$6=""),"",IF(AND(B243&lt;$B$6,B244&gt;=$B$6),A243+($B$6-B243)/(B244-B243)*(A244-A243),""))</f>
        <v/>
      </c>
    </row>
    <row r="245" customFormat="false" ht="15" hidden="false" customHeight="true" outlineLevel="0" collapsed="false">
      <c r="A245" s="33"/>
      <c r="B245" s="33"/>
      <c r="C245" s="34"/>
      <c r="D245" s="30" t="str">
        <f aca="false">IF(OR(A245="",A244="",A245=A244),"",(B245-B244)/(A245-A244))</f>
        <v/>
      </c>
      <c r="E245" s="26" t="str">
        <f aca="false">IF(OR(B245="",B244="",$B$6=""),"",IF(AND(B244&lt;$B$6,B245&gt;=$B$6),A244+($B$6-B244)/(B245-B244)*(A245-A244),""))</f>
        <v/>
      </c>
    </row>
    <row r="246" customFormat="false" ht="15" hidden="false" customHeight="true" outlineLevel="0" collapsed="false">
      <c r="A246" s="33"/>
      <c r="B246" s="33"/>
      <c r="C246" s="34"/>
      <c r="D246" s="30" t="str">
        <f aca="false">IF(OR(A246="",A245="",A246=A245),"",(B246-B245)/(A246-A245))</f>
        <v/>
      </c>
      <c r="E246" s="26" t="str">
        <f aca="false">IF(OR(B246="",B245="",$B$6=""),"",IF(AND(B245&lt;$B$6,B246&gt;=$B$6),A245+($B$6-B245)/(B246-B245)*(A246-A245),""))</f>
        <v/>
      </c>
    </row>
    <row r="247" customFormat="false" ht="15" hidden="false" customHeight="true" outlineLevel="0" collapsed="false">
      <c r="A247" s="33"/>
      <c r="B247" s="33"/>
      <c r="C247" s="34"/>
      <c r="D247" s="30" t="str">
        <f aca="false">IF(OR(A247="",A246="",A247=A246),"",(B247-B246)/(A247-A246))</f>
        <v/>
      </c>
      <c r="E247" s="26" t="str">
        <f aca="false">IF(OR(B247="",B246="",$B$6=""),"",IF(AND(B246&lt;$B$6,B247&gt;=$B$6),A246+($B$6-B246)/(B247-B246)*(A247-A246),""))</f>
        <v/>
      </c>
    </row>
    <row r="248" customFormat="false" ht="15" hidden="false" customHeight="true" outlineLevel="0" collapsed="false">
      <c r="A248" s="33"/>
      <c r="B248" s="33"/>
      <c r="C248" s="34"/>
      <c r="D248" s="30" t="str">
        <f aca="false">IF(OR(A248="",A247="",A248=A247),"",(B248-B247)/(A248-A247))</f>
        <v/>
      </c>
      <c r="E248" s="26" t="str">
        <f aca="false">IF(OR(B248="",B247="",$B$6=""),"",IF(AND(B247&lt;$B$6,B248&gt;=$B$6),A247+($B$6-B247)/(B248-B247)*(A248-A247),""))</f>
        <v/>
      </c>
    </row>
    <row r="249" customFormat="false" ht="15" hidden="false" customHeight="true" outlineLevel="0" collapsed="false">
      <c r="A249" s="33"/>
      <c r="B249" s="33"/>
      <c r="C249" s="34"/>
      <c r="D249" s="30" t="str">
        <f aca="false">IF(OR(A249="",A248="",A249=A248),"",(B249-B248)/(A249-A248))</f>
        <v/>
      </c>
      <c r="E249" s="26" t="str">
        <f aca="false">IF(OR(B249="",B248="",$B$6=""),"",IF(AND(B248&lt;$B$6,B249&gt;=$B$6),A248+($B$6-B248)/(B249-B248)*(A249-A248),""))</f>
        <v/>
      </c>
    </row>
    <row r="250" customFormat="false" ht="15" hidden="false" customHeight="true" outlineLevel="0" collapsed="false">
      <c r="A250" s="33"/>
      <c r="B250" s="33"/>
      <c r="C250" s="34"/>
      <c r="D250" s="30" t="str">
        <f aca="false">IF(OR(A250="",A249="",A250=A249),"",(B250-B249)/(A250-A249))</f>
        <v/>
      </c>
      <c r="E250" s="26" t="str">
        <f aca="false">IF(OR(B250="",B249="",$B$6=""),"",IF(AND(B249&lt;$B$6,B250&gt;=$B$6),A249+($B$6-B249)/(B250-B249)*(A250-A249),""))</f>
        <v/>
      </c>
    </row>
    <row r="251" customFormat="false" ht="15" hidden="false" customHeight="true" outlineLevel="0" collapsed="false">
      <c r="A251" s="33"/>
      <c r="B251" s="33"/>
      <c r="C251" s="34"/>
      <c r="D251" s="30" t="str">
        <f aca="false">IF(OR(A251="",A250="",A251=A250),"",(B251-B250)/(A251-A250))</f>
        <v/>
      </c>
      <c r="E251" s="26" t="str">
        <f aca="false">IF(OR(B251="",B250="",$B$6=""),"",IF(AND(B250&lt;$B$6,B251&gt;=$B$6),A250+($B$6-B250)/(B251-B250)*(A251-A250),""))</f>
        <v/>
      </c>
    </row>
    <row r="252" customFormat="false" ht="15" hidden="false" customHeight="true" outlineLevel="0" collapsed="false">
      <c r="A252" s="33"/>
      <c r="B252" s="33"/>
      <c r="C252" s="34"/>
      <c r="D252" s="30" t="str">
        <f aca="false">IF(OR(A252="",A251="",A252=A251),"",(B252-B251)/(A252-A251))</f>
        <v/>
      </c>
      <c r="E252" s="26" t="str">
        <f aca="false">IF(OR(B252="",B251="",$B$6=""),"",IF(AND(B251&lt;$B$6,B252&gt;=$B$6),A251+($B$6-B251)/(B252-B251)*(A252-A251),""))</f>
        <v/>
      </c>
    </row>
    <row r="253" customFormat="false" ht="15" hidden="false" customHeight="true" outlineLevel="0" collapsed="false">
      <c r="A253" s="33"/>
      <c r="B253" s="33"/>
      <c r="C253" s="34"/>
      <c r="D253" s="30" t="str">
        <f aca="false">IF(OR(A253="",A252="",A253=A252),"",(B253-B252)/(A253-A252))</f>
        <v/>
      </c>
      <c r="E253" s="26" t="str">
        <f aca="false">IF(OR(B253="",B252="",$B$6=""),"",IF(AND(B252&lt;$B$6,B253&gt;=$B$6),A252+($B$6-B252)/(B253-B252)*(A253-A252),""))</f>
        <v/>
      </c>
    </row>
    <row r="254" customFormat="false" ht="15" hidden="false" customHeight="true" outlineLevel="0" collapsed="false">
      <c r="A254" s="33"/>
      <c r="B254" s="33"/>
      <c r="C254" s="34"/>
      <c r="D254" s="30" t="str">
        <f aca="false">IF(OR(A254="",A253="",A254=A253),"",(B254-B253)/(A254-A253))</f>
        <v/>
      </c>
      <c r="E254" s="26" t="str">
        <f aca="false">IF(OR(B254="",B253="",$B$6=""),"",IF(AND(B253&lt;$B$6,B254&gt;=$B$6),A253+($B$6-B253)/(B254-B253)*(A254-A253),""))</f>
        <v/>
      </c>
    </row>
    <row r="255" customFormat="false" ht="15" hidden="false" customHeight="true" outlineLevel="0" collapsed="false">
      <c r="A255" s="33"/>
      <c r="B255" s="33"/>
      <c r="C255" s="34"/>
      <c r="D255" s="30" t="str">
        <f aca="false">IF(OR(A255="",A254="",A255=A254),"",(B255-B254)/(A255-A254))</f>
        <v/>
      </c>
      <c r="E255" s="26" t="str">
        <f aca="false">IF(OR(B255="",B254="",$B$6=""),"",IF(AND(B254&lt;$B$6,B255&gt;=$B$6),A254+($B$6-B254)/(B255-B254)*(A255-A254),""))</f>
        <v/>
      </c>
    </row>
    <row r="256" customFormat="false" ht="15" hidden="false" customHeight="true" outlineLevel="0" collapsed="false">
      <c r="A256" s="33"/>
      <c r="B256" s="33"/>
      <c r="C256" s="34"/>
      <c r="D256" s="30" t="str">
        <f aca="false">IF(OR(A256="",A255="",A256=A255),"",(B256-B255)/(A256-A255))</f>
        <v/>
      </c>
      <c r="E256" s="26" t="str">
        <f aca="false">IF(OR(B256="",B255="",$B$6=""),"",IF(AND(B255&lt;$B$6,B256&gt;=$B$6),A255+($B$6-B255)/(B256-B255)*(A256-A255),""))</f>
        <v/>
      </c>
    </row>
    <row r="257" customFormat="false" ht="15" hidden="false" customHeight="true" outlineLevel="0" collapsed="false">
      <c r="A257" s="33"/>
      <c r="B257" s="33"/>
      <c r="C257" s="34"/>
      <c r="D257" s="30" t="str">
        <f aca="false">IF(OR(A257="",A256="",A257=A256),"",(B257-B256)/(A257-A256))</f>
        <v/>
      </c>
      <c r="E257" s="26" t="str">
        <f aca="false">IF(OR(B257="",B256="",$B$6=""),"",IF(AND(B256&lt;$B$6,B257&gt;=$B$6),A256+($B$6-B256)/(B257-B256)*(A257-A256),""))</f>
        <v/>
      </c>
    </row>
    <row r="258" customFormat="false" ht="15" hidden="false" customHeight="true" outlineLevel="0" collapsed="false">
      <c r="A258" s="33"/>
      <c r="B258" s="33"/>
      <c r="C258" s="34"/>
      <c r="D258" s="30" t="str">
        <f aca="false">IF(OR(A258="",A257="",A258=A257),"",(B258-B257)/(A258-A257))</f>
        <v/>
      </c>
      <c r="E258" s="26" t="str">
        <f aca="false">IF(OR(B258="",B257="",$B$6=""),"",IF(AND(B257&lt;$B$6,B258&gt;=$B$6),A257+($B$6-B257)/(B258-B257)*(A258-A257),""))</f>
        <v/>
      </c>
    </row>
    <row r="259" customFormat="false" ht="15" hidden="false" customHeight="true" outlineLevel="0" collapsed="false">
      <c r="A259" s="33"/>
      <c r="B259" s="33"/>
      <c r="C259" s="34"/>
      <c r="D259" s="30" t="str">
        <f aca="false">IF(OR(A259="",A258="",A259=A258),"",(B259-B258)/(A259-A258))</f>
        <v/>
      </c>
      <c r="E259" s="26" t="str">
        <f aca="false">IF(OR(B259="",B258="",$B$6=""),"",IF(AND(B258&lt;$B$6,B259&gt;=$B$6),A258+($B$6-B258)/(B259-B258)*(A259-A258),""))</f>
        <v/>
      </c>
    </row>
    <row r="260" customFormat="false" ht="15" hidden="false" customHeight="true" outlineLevel="0" collapsed="false">
      <c r="A260" s="33"/>
      <c r="B260" s="33"/>
      <c r="C260" s="34"/>
      <c r="D260" s="30" t="str">
        <f aca="false">IF(OR(A260="",A259="",A260=A259),"",(B260-B259)/(A260-A259))</f>
        <v/>
      </c>
      <c r="E260" s="26" t="str">
        <f aca="false">IF(OR(B260="",B259="",$B$6=""),"",IF(AND(B259&lt;$B$6,B260&gt;=$B$6),A259+($B$6-B259)/(B260-B259)*(A260-A259),""))</f>
        <v/>
      </c>
    </row>
    <row r="261" customFormat="false" ht="15" hidden="false" customHeight="true" outlineLevel="0" collapsed="false">
      <c r="A261" s="33"/>
      <c r="B261" s="33"/>
      <c r="C261" s="34"/>
      <c r="D261" s="30" t="str">
        <f aca="false">IF(OR(A261="",A260="",A261=A260),"",(B261-B260)/(A261-A260))</f>
        <v/>
      </c>
      <c r="E261" s="26" t="str">
        <f aca="false">IF(OR(B261="",B260="",$B$6=""),"",IF(AND(B260&lt;$B$6,B261&gt;=$B$6),A260+($B$6-B260)/(B261-B260)*(A261-A260),""))</f>
        <v/>
      </c>
    </row>
    <row r="262" customFormat="false" ht="15" hidden="false" customHeight="true" outlineLevel="0" collapsed="false">
      <c r="A262" s="33"/>
      <c r="B262" s="33"/>
      <c r="C262" s="34"/>
      <c r="D262" s="30" t="str">
        <f aca="false">IF(OR(A262="",A261="",A262=A261),"",(B262-B261)/(A262-A261))</f>
        <v/>
      </c>
      <c r="E262" s="26" t="str">
        <f aca="false">IF(OR(B262="",B261="",$B$6=""),"",IF(AND(B261&lt;$B$6,B262&gt;=$B$6),A261+($B$6-B261)/(B262-B261)*(A262-A261),""))</f>
        <v/>
      </c>
    </row>
    <row r="263" customFormat="false" ht="15" hidden="false" customHeight="true" outlineLevel="0" collapsed="false">
      <c r="A263" s="33"/>
      <c r="B263" s="33"/>
      <c r="C263" s="34"/>
      <c r="D263" s="30" t="str">
        <f aca="false">IF(OR(A263="",A262="",A263=A262),"",(B263-B262)/(A263-A262))</f>
        <v/>
      </c>
      <c r="E263" s="26" t="str">
        <f aca="false">IF(OR(B263="",B262="",$B$6=""),"",IF(AND(B262&lt;$B$6,B263&gt;=$B$6),A262+($B$6-B262)/(B263-B262)*(A263-A262),""))</f>
        <v/>
      </c>
    </row>
    <row r="264" customFormat="false" ht="15" hidden="false" customHeight="true" outlineLevel="0" collapsed="false">
      <c r="A264" s="33"/>
      <c r="B264" s="33"/>
      <c r="C264" s="34"/>
      <c r="D264" s="30" t="str">
        <f aca="false">IF(OR(A264="",A263="",A264=A263),"",(B264-B263)/(A264-A263))</f>
        <v/>
      </c>
      <c r="E264" s="26" t="str">
        <f aca="false">IF(OR(B264="",B263="",$B$6=""),"",IF(AND(B263&lt;$B$6,B264&gt;=$B$6),A263+($B$6-B263)/(B264-B263)*(A264-A263),""))</f>
        <v/>
      </c>
    </row>
    <row r="265" customFormat="false" ht="15" hidden="false" customHeight="true" outlineLevel="0" collapsed="false">
      <c r="A265" s="33"/>
      <c r="B265" s="33"/>
      <c r="C265" s="34"/>
      <c r="D265" s="30" t="str">
        <f aca="false">IF(OR(A265="",A264="",A265=A264),"",(B265-B264)/(A265-A264))</f>
        <v/>
      </c>
      <c r="E265" s="26" t="str">
        <f aca="false">IF(OR(B265="",B264="",$B$6=""),"",IF(AND(B264&lt;$B$6,B265&gt;=$B$6),A264+($B$6-B264)/(B265-B264)*(A265-A264),""))</f>
        <v/>
      </c>
    </row>
    <row r="266" customFormat="false" ht="15" hidden="false" customHeight="true" outlineLevel="0" collapsed="false">
      <c r="A266" s="33"/>
      <c r="B266" s="33"/>
      <c r="C266" s="34"/>
      <c r="D266" s="30" t="str">
        <f aca="false">IF(OR(A266="",A265="",A266=A265),"",(B266-B265)/(A266-A265))</f>
        <v/>
      </c>
      <c r="E266" s="26" t="str">
        <f aca="false">IF(OR(B266="",B265="",$B$6=""),"",IF(AND(B265&lt;$B$6,B266&gt;=$B$6),A265+($B$6-B265)/(B266-B265)*(A266-A265),""))</f>
        <v/>
      </c>
    </row>
    <row r="267" customFormat="false" ht="15" hidden="false" customHeight="true" outlineLevel="0" collapsed="false">
      <c r="A267" s="33"/>
      <c r="B267" s="33"/>
      <c r="C267" s="34"/>
      <c r="D267" s="30" t="str">
        <f aca="false">IF(OR(A267="",A266="",A267=A266),"",(B267-B266)/(A267-A266))</f>
        <v/>
      </c>
      <c r="E267" s="26" t="str">
        <f aca="false">IF(OR(B267="",B266="",$B$6=""),"",IF(AND(B266&lt;$B$6,B267&gt;=$B$6),A266+($B$6-B266)/(B267-B266)*(A267-A266),""))</f>
        <v/>
      </c>
    </row>
    <row r="268" customFormat="false" ht="15" hidden="false" customHeight="true" outlineLevel="0" collapsed="false">
      <c r="A268" s="33"/>
      <c r="B268" s="33"/>
      <c r="C268" s="34"/>
      <c r="D268" s="30" t="str">
        <f aca="false">IF(OR(A268="",A267="",A268=A267),"",(B268-B267)/(A268-A267))</f>
        <v/>
      </c>
      <c r="E268" s="26" t="str">
        <f aca="false">IF(OR(B268="",B267="",$B$6=""),"",IF(AND(B267&lt;$B$6,B268&gt;=$B$6),A267+($B$6-B267)/(B268-B267)*(A268-A267),""))</f>
        <v/>
      </c>
    </row>
    <row r="269" customFormat="false" ht="15" hidden="false" customHeight="true" outlineLevel="0" collapsed="false">
      <c r="A269" s="33"/>
      <c r="B269" s="33"/>
      <c r="C269" s="34"/>
      <c r="D269" s="30" t="str">
        <f aca="false">IF(OR(A269="",A268="",A269=A268),"",(B269-B268)/(A269-A268))</f>
        <v/>
      </c>
      <c r="E269" s="26" t="str">
        <f aca="false">IF(OR(B269="",B268="",$B$6=""),"",IF(AND(B268&lt;$B$6,B269&gt;=$B$6),A268+($B$6-B268)/(B269-B268)*(A269-A268),""))</f>
        <v/>
      </c>
    </row>
    <row r="270" customFormat="false" ht="15" hidden="false" customHeight="true" outlineLevel="0" collapsed="false">
      <c r="A270" s="33"/>
      <c r="B270" s="33"/>
      <c r="C270" s="34"/>
      <c r="D270" s="30" t="str">
        <f aca="false">IF(OR(A270="",A269="",A270=A269),"",(B270-B269)/(A270-A269))</f>
        <v/>
      </c>
      <c r="E270" s="26" t="str">
        <f aca="false">IF(OR(B270="",B269="",$B$6=""),"",IF(AND(B269&lt;$B$6,B270&gt;=$B$6),A269+($B$6-B269)/(B270-B269)*(A270-A269),""))</f>
        <v/>
      </c>
    </row>
    <row r="271" customFormat="false" ht="15" hidden="false" customHeight="true" outlineLevel="0" collapsed="false">
      <c r="A271" s="33"/>
      <c r="B271" s="33"/>
      <c r="C271" s="34"/>
      <c r="D271" s="30" t="str">
        <f aca="false">IF(OR(A271="",A270="",A271=A270),"",(B271-B270)/(A271-A270))</f>
        <v/>
      </c>
      <c r="E271" s="26" t="str">
        <f aca="false">IF(OR(B271="",B270="",$B$6=""),"",IF(AND(B270&lt;$B$6,B271&gt;=$B$6),A270+($B$6-B270)/(B271-B270)*(A271-A270),""))</f>
        <v/>
      </c>
    </row>
    <row r="272" customFormat="false" ht="15" hidden="false" customHeight="true" outlineLevel="0" collapsed="false">
      <c r="A272" s="33"/>
      <c r="B272" s="33"/>
      <c r="C272" s="34"/>
      <c r="D272" s="30" t="str">
        <f aca="false">IF(OR(A272="",A271="",A272=A271),"",(B272-B271)/(A272-A271))</f>
        <v/>
      </c>
      <c r="E272" s="26" t="str">
        <f aca="false">IF(OR(B272="",B271="",$B$6=""),"",IF(AND(B271&lt;$B$6,B272&gt;=$B$6),A271+($B$6-B271)/(B272-B271)*(A272-A271),""))</f>
        <v/>
      </c>
    </row>
    <row r="273" customFormat="false" ht="15" hidden="false" customHeight="true" outlineLevel="0" collapsed="false">
      <c r="A273" s="33"/>
      <c r="B273" s="33"/>
      <c r="C273" s="34"/>
      <c r="D273" s="30" t="str">
        <f aca="false">IF(OR(A273="",A272="",A273=A272),"",(B273-B272)/(A273-A272))</f>
        <v/>
      </c>
      <c r="E273" s="26" t="str">
        <f aca="false">IF(OR(B273="",B272="",$B$6=""),"",IF(AND(B272&lt;$B$6,B273&gt;=$B$6),A272+($B$6-B272)/(B273-B272)*(A273-A272),""))</f>
        <v/>
      </c>
    </row>
    <row r="274" customFormat="false" ht="15" hidden="false" customHeight="true" outlineLevel="0" collapsed="false">
      <c r="A274" s="33"/>
      <c r="B274" s="33"/>
      <c r="C274" s="34"/>
      <c r="D274" s="30" t="str">
        <f aca="false">IF(OR(A274="",A273="",A274=A273),"",(B274-B273)/(A274-A273))</f>
        <v/>
      </c>
      <c r="E274" s="26" t="str">
        <f aca="false">IF(OR(B274="",B273="",$B$6=""),"",IF(AND(B273&lt;$B$6,B274&gt;=$B$6),A273+($B$6-B273)/(B274-B273)*(A274-A273),""))</f>
        <v/>
      </c>
    </row>
    <row r="275" customFormat="false" ht="15" hidden="false" customHeight="true" outlineLevel="0" collapsed="false">
      <c r="A275" s="33"/>
      <c r="B275" s="33"/>
      <c r="C275" s="34"/>
      <c r="D275" s="30" t="str">
        <f aca="false">IF(OR(A275="",A274="",A275=A274),"",(B275-B274)/(A275-A274))</f>
        <v/>
      </c>
      <c r="E275" s="26" t="str">
        <f aca="false">IF(OR(B275="",B274="",$B$6=""),"",IF(AND(B274&lt;$B$6,B275&gt;=$B$6),A274+($B$6-B274)/(B275-B274)*(A275-A274),""))</f>
        <v/>
      </c>
    </row>
    <row r="276" customFormat="false" ht="15" hidden="false" customHeight="true" outlineLevel="0" collapsed="false">
      <c r="A276" s="33"/>
      <c r="B276" s="33"/>
      <c r="C276" s="34"/>
      <c r="D276" s="30" t="str">
        <f aca="false">IF(OR(A276="",A275="",A276=A275),"",(B276-B275)/(A276-A275))</f>
        <v/>
      </c>
      <c r="E276" s="26" t="str">
        <f aca="false">IF(OR(B276="",B275="",$B$6=""),"",IF(AND(B275&lt;$B$6,B276&gt;=$B$6),A275+($B$6-B275)/(B276-B275)*(A276-A275),""))</f>
        <v/>
      </c>
    </row>
    <row r="277" customFormat="false" ht="15" hidden="false" customHeight="true" outlineLevel="0" collapsed="false">
      <c r="A277" s="33"/>
      <c r="B277" s="33"/>
      <c r="C277" s="34"/>
      <c r="D277" s="30" t="str">
        <f aca="false">IF(OR(A277="",A276="",A277=A276),"",(B277-B276)/(A277-A276))</f>
        <v/>
      </c>
      <c r="E277" s="26" t="str">
        <f aca="false">IF(OR(B277="",B276="",$B$6=""),"",IF(AND(B276&lt;$B$6,B277&gt;=$B$6),A276+($B$6-B276)/(B277-B276)*(A277-A276),""))</f>
        <v/>
      </c>
    </row>
    <row r="278" customFormat="false" ht="15" hidden="false" customHeight="true" outlineLevel="0" collapsed="false">
      <c r="A278" s="33"/>
      <c r="B278" s="33"/>
      <c r="C278" s="34"/>
      <c r="D278" s="30" t="str">
        <f aca="false">IF(OR(A278="",A277="",A278=A277),"",(B278-B277)/(A278-A277))</f>
        <v/>
      </c>
      <c r="E278" s="26" t="str">
        <f aca="false">IF(OR(B278="",B277="",$B$6=""),"",IF(AND(B277&lt;$B$6,B278&gt;=$B$6),A277+($B$6-B277)/(B278-B277)*(A278-A277),""))</f>
        <v/>
      </c>
    </row>
    <row r="279" customFormat="false" ht="15" hidden="false" customHeight="true" outlineLevel="0" collapsed="false">
      <c r="A279" s="33"/>
      <c r="B279" s="33"/>
      <c r="C279" s="34"/>
      <c r="D279" s="30" t="str">
        <f aca="false">IF(OR(A279="",A278="",A279=A278),"",(B279-B278)/(A279-A278))</f>
        <v/>
      </c>
      <c r="E279" s="26" t="str">
        <f aca="false">IF(OR(B279="",B278="",$B$6=""),"",IF(AND(B278&lt;$B$6,B279&gt;=$B$6),A278+($B$6-B278)/(B279-B278)*(A279-A278),""))</f>
        <v/>
      </c>
    </row>
    <row r="280" customFormat="false" ht="15" hidden="false" customHeight="true" outlineLevel="0" collapsed="false">
      <c r="A280" s="33"/>
      <c r="B280" s="33"/>
      <c r="C280" s="34"/>
      <c r="D280" s="30" t="str">
        <f aca="false">IF(OR(A280="",A279="",A280=A279),"",(B280-B279)/(A280-A279))</f>
        <v/>
      </c>
      <c r="E280" s="26" t="str">
        <f aca="false">IF(OR(B280="",B279="",$B$6=""),"",IF(AND(B279&lt;$B$6,B280&gt;=$B$6),A279+($B$6-B279)/(B280-B279)*(A280-A279),""))</f>
        <v/>
      </c>
    </row>
    <row r="281" customFormat="false" ht="15" hidden="false" customHeight="true" outlineLevel="0" collapsed="false">
      <c r="A281" s="33"/>
      <c r="B281" s="33"/>
      <c r="C281" s="34"/>
      <c r="D281" s="30" t="str">
        <f aca="false">IF(OR(A281="",A280="",A281=A280),"",(B281-B280)/(A281-A280))</f>
        <v/>
      </c>
      <c r="E281" s="26" t="str">
        <f aca="false">IF(OR(B281="",B280="",$B$6=""),"",IF(AND(B280&lt;$B$6,B281&gt;=$B$6),A280+($B$6-B280)/(B281-B280)*(A281-A280),""))</f>
        <v/>
      </c>
    </row>
    <row r="282" customFormat="false" ht="15" hidden="false" customHeight="true" outlineLevel="0" collapsed="false">
      <c r="A282" s="33"/>
      <c r="B282" s="33"/>
      <c r="C282" s="34"/>
      <c r="D282" s="30" t="str">
        <f aca="false">IF(OR(A282="",A281="",A282=A281),"",(B282-B281)/(A282-A281))</f>
        <v/>
      </c>
      <c r="E282" s="26" t="str">
        <f aca="false">IF(OR(B282="",B281="",$B$6=""),"",IF(AND(B281&lt;$B$6,B282&gt;=$B$6),A281+($B$6-B281)/(B282-B281)*(A282-A281),""))</f>
        <v/>
      </c>
    </row>
    <row r="283" customFormat="false" ht="15" hidden="false" customHeight="true" outlineLevel="0" collapsed="false">
      <c r="A283" s="33"/>
      <c r="B283" s="33"/>
      <c r="C283" s="34"/>
      <c r="D283" s="30" t="str">
        <f aca="false">IF(OR(A283="",A282="",A283=A282),"",(B283-B282)/(A283-A282))</f>
        <v/>
      </c>
      <c r="E283" s="26" t="str">
        <f aca="false">IF(OR(B283="",B282="",$B$6=""),"",IF(AND(B282&lt;$B$6,B283&gt;=$B$6),A282+($B$6-B282)/(B283-B282)*(A283-A282),""))</f>
        <v/>
      </c>
    </row>
    <row r="284" customFormat="false" ht="15" hidden="false" customHeight="true" outlineLevel="0" collapsed="false">
      <c r="A284" s="33"/>
      <c r="B284" s="33"/>
      <c r="C284" s="34"/>
      <c r="D284" s="30" t="str">
        <f aca="false">IF(OR(A284="",A283="",A284=A283),"",(B284-B283)/(A284-A283))</f>
        <v/>
      </c>
      <c r="E284" s="26" t="str">
        <f aca="false">IF(OR(B284="",B283="",$B$6=""),"",IF(AND(B283&lt;$B$6,B284&gt;=$B$6),A283+($B$6-B283)/(B284-B283)*(A284-A283),""))</f>
        <v/>
      </c>
    </row>
    <row r="285" customFormat="false" ht="15" hidden="false" customHeight="true" outlineLevel="0" collapsed="false">
      <c r="A285" s="33"/>
      <c r="B285" s="33"/>
      <c r="C285" s="34"/>
      <c r="D285" s="30" t="str">
        <f aca="false">IF(OR(A285="",A284="",A285=A284),"",(B285-B284)/(A285-A284))</f>
        <v/>
      </c>
      <c r="E285" s="26" t="str">
        <f aca="false">IF(OR(B285="",B284="",$B$6=""),"",IF(AND(B284&lt;$B$6,B285&gt;=$B$6),A284+($B$6-B284)/(B285-B284)*(A285-A284),""))</f>
        <v/>
      </c>
    </row>
    <row r="286" customFormat="false" ht="15" hidden="false" customHeight="true" outlineLevel="0" collapsed="false">
      <c r="A286" s="33"/>
      <c r="B286" s="33"/>
      <c r="C286" s="34"/>
      <c r="D286" s="30" t="str">
        <f aca="false">IF(OR(A286="",A285="",A286=A285),"",(B286-B285)/(A286-A285))</f>
        <v/>
      </c>
      <c r="E286" s="26" t="str">
        <f aca="false">IF(OR(B286="",B285="",$B$6=""),"",IF(AND(B285&lt;$B$6,B286&gt;=$B$6),A285+($B$6-B285)/(B286-B285)*(A286-A285),""))</f>
        <v/>
      </c>
    </row>
    <row r="287" customFormat="false" ht="15" hidden="false" customHeight="true" outlineLevel="0" collapsed="false">
      <c r="A287" s="33"/>
      <c r="B287" s="33"/>
      <c r="C287" s="34"/>
      <c r="D287" s="30" t="str">
        <f aca="false">IF(OR(A287="",A286="",A287=A286),"",(B287-B286)/(A287-A286))</f>
        <v/>
      </c>
      <c r="E287" s="26" t="str">
        <f aca="false">IF(OR(B287="",B286="",$B$6=""),"",IF(AND(B286&lt;$B$6,B287&gt;=$B$6),A286+($B$6-B286)/(B287-B286)*(A287-A286),""))</f>
        <v/>
      </c>
    </row>
    <row r="288" customFormat="false" ht="15" hidden="false" customHeight="true" outlineLevel="0" collapsed="false">
      <c r="A288" s="33"/>
      <c r="B288" s="33"/>
      <c r="C288" s="34"/>
      <c r="D288" s="30" t="str">
        <f aca="false">IF(OR(A288="",A287="",A288=A287),"",(B288-B287)/(A288-A287))</f>
        <v/>
      </c>
      <c r="E288" s="26" t="str">
        <f aca="false">IF(OR(B288="",B287="",$B$6=""),"",IF(AND(B287&lt;$B$6,B288&gt;=$B$6),A287+($B$6-B287)/(B288-B287)*(A288-A287),""))</f>
        <v/>
      </c>
    </row>
    <row r="289" customFormat="false" ht="15" hidden="false" customHeight="true" outlineLevel="0" collapsed="false">
      <c r="A289" s="33"/>
      <c r="B289" s="33"/>
      <c r="C289" s="34"/>
      <c r="D289" s="30" t="str">
        <f aca="false">IF(OR(A289="",A288="",A289=A288),"",(B289-B288)/(A289-A288))</f>
        <v/>
      </c>
      <c r="E289" s="26" t="str">
        <f aca="false">IF(OR(B289="",B288="",$B$6=""),"",IF(AND(B288&lt;$B$6,B289&gt;=$B$6),A288+($B$6-B288)/(B289-B288)*(A289-A288),""))</f>
        <v/>
      </c>
    </row>
    <row r="290" customFormat="false" ht="15" hidden="false" customHeight="true" outlineLevel="0" collapsed="false">
      <c r="A290" s="33"/>
      <c r="B290" s="33"/>
      <c r="C290" s="34"/>
      <c r="D290" s="30" t="str">
        <f aca="false">IF(OR(A290="",A289="",A290=A289),"",(B290-B289)/(A290-A289))</f>
        <v/>
      </c>
      <c r="E290" s="26" t="str">
        <f aca="false">IF(OR(B290="",B289="",$B$6=""),"",IF(AND(B289&lt;$B$6,B290&gt;=$B$6),A289+($B$6-B289)/(B290-B289)*(A290-A289),""))</f>
        <v/>
      </c>
    </row>
    <row r="291" customFormat="false" ht="15" hidden="false" customHeight="true" outlineLevel="0" collapsed="false">
      <c r="A291" s="33"/>
      <c r="B291" s="33"/>
      <c r="C291" s="34"/>
      <c r="D291" s="30" t="str">
        <f aca="false">IF(OR(A291="",A290="",A291=A290),"",(B291-B290)/(A291-A290))</f>
        <v/>
      </c>
      <c r="E291" s="26" t="str">
        <f aca="false">IF(OR(B291="",B290="",$B$6=""),"",IF(AND(B290&lt;$B$6,B291&gt;=$B$6),A290+($B$6-B290)/(B291-B290)*(A291-A290),""))</f>
        <v/>
      </c>
    </row>
    <row r="292" customFormat="false" ht="15" hidden="false" customHeight="true" outlineLevel="0" collapsed="false">
      <c r="A292" s="33"/>
      <c r="B292" s="33"/>
      <c r="C292" s="34"/>
      <c r="D292" s="30" t="str">
        <f aca="false">IF(OR(A292="",A291="",A292=A291),"",(B292-B291)/(A292-A291))</f>
        <v/>
      </c>
      <c r="E292" s="26" t="str">
        <f aca="false">IF(OR(B292="",B291="",$B$6=""),"",IF(AND(B291&lt;$B$6,B292&gt;=$B$6),A291+($B$6-B291)/(B292-B291)*(A292-A291),""))</f>
        <v/>
      </c>
    </row>
    <row r="293" customFormat="false" ht="15" hidden="false" customHeight="true" outlineLevel="0" collapsed="false">
      <c r="A293" s="33"/>
      <c r="B293" s="33"/>
      <c r="C293" s="34"/>
      <c r="D293" s="30" t="str">
        <f aca="false">IF(OR(A293="",A292="",A293=A292),"",(B293-B292)/(A293-A292))</f>
        <v/>
      </c>
      <c r="E293" s="26" t="str">
        <f aca="false">IF(OR(B293="",B292="",$B$6=""),"",IF(AND(B292&lt;$B$6,B293&gt;=$B$6),A292+($B$6-B292)/(B293-B292)*(A293-A292),""))</f>
        <v/>
      </c>
    </row>
    <row r="294" customFormat="false" ht="15" hidden="false" customHeight="true" outlineLevel="0" collapsed="false">
      <c r="A294" s="33"/>
      <c r="B294" s="33"/>
      <c r="C294" s="34"/>
      <c r="D294" s="30" t="str">
        <f aca="false">IF(OR(A294="",A293="",A294=A293),"",(B294-B293)/(A294-A293))</f>
        <v/>
      </c>
      <c r="E294" s="26" t="str">
        <f aca="false">IF(OR(B294="",B293="",$B$6=""),"",IF(AND(B293&lt;$B$6,B294&gt;=$B$6),A293+($B$6-B293)/(B294-B293)*(A294-A293),""))</f>
        <v/>
      </c>
    </row>
    <row r="295" customFormat="false" ht="15" hidden="false" customHeight="true" outlineLevel="0" collapsed="false">
      <c r="A295" s="33"/>
      <c r="B295" s="33"/>
      <c r="C295" s="34"/>
      <c r="D295" s="30" t="str">
        <f aca="false">IF(OR(A295="",A294="",A295=A294),"",(B295-B294)/(A295-A294))</f>
        <v/>
      </c>
      <c r="E295" s="26" t="str">
        <f aca="false">IF(OR(B295="",B294="",$B$6=""),"",IF(AND(B294&lt;$B$6,B295&gt;=$B$6),A294+($B$6-B294)/(B295-B294)*(A295-A294),""))</f>
        <v/>
      </c>
    </row>
    <row r="296" customFormat="false" ht="15" hidden="false" customHeight="true" outlineLevel="0" collapsed="false">
      <c r="A296" s="33"/>
      <c r="B296" s="33"/>
      <c r="C296" s="34"/>
      <c r="D296" s="30" t="str">
        <f aca="false">IF(OR(A296="",A295="",A296=A295),"",(B296-B295)/(A296-A295))</f>
        <v/>
      </c>
      <c r="E296" s="26" t="str">
        <f aca="false">IF(OR(B296="",B295="",$B$6=""),"",IF(AND(B295&lt;$B$6,B296&gt;=$B$6),A295+($B$6-B295)/(B296-B295)*(A296-A295),""))</f>
        <v/>
      </c>
    </row>
    <row r="297" customFormat="false" ht="15" hidden="false" customHeight="true" outlineLevel="0" collapsed="false">
      <c r="A297" s="33"/>
      <c r="B297" s="33"/>
      <c r="C297" s="34"/>
      <c r="D297" s="30" t="str">
        <f aca="false">IF(OR(A297="",A296="",A297=A296),"",(B297-B296)/(A297-A296))</f>
        <v/>
      </c>
      <c r="E297" s="26" t="str">
        <f aca="false">IF(OR(B297="",B296="",$B$6=""),"",IF(AND(B296&lt;$B$6,B297&gt;=$B$6),A296+($B$6-B296)/(B297-B296)*(A297-A296),""))</f>
        <v/>
      </c>
    </row>
    <row r="298" customFormat="false" ht="15" hidden="false" customHeight="true" outlineLevel="0" collapsed="false">
      <c r="A298" s="33"/>
      <c r="B298" s="33"/>
      <c r="C298" s="34"/>
      <c r="D298" s="30" t="str">
        <f aca="false">IF(OR(A298="",A297="",A298=A297),"",(B298-B297)/(A298-A297))</f>
        <v/>
      </c>
      <c r="E298" s="26" t="str">
        <f aca="false">IF(OR(B298="",B297="",$B$6=""),"",IF(AND(B297&lt;$B$6,B298&gt;=$B$6),A297+($B$6-B297)/(B298-B297)*(A298-A297),""))</f>
        <v/>
      </c>
    </row>
    <row r="299" customFormat="false" ht="15" hidden="false" customHeight="true" outlineLevel="0" collapsed="false">
      <c r="A299" s="33"/>
      <c r="B299" s="33"/>
      <c r="C299" s="34"/>
      <c r="D299" s="30" t="str">
        <f aca="false">IF(OR(A299="",A298="",A299=A298),"",(B299-B298)/(A299-A298))</f>
        <v/>
      </c>
      <c r="E299" s="26" t="str">
        <f aca="false">IF(OR(B299="",B298="",$B$6=""),"",IF(AND(B298&lt;$B$6,B299&gt;=$B$6),A298+($B$6-B298)/(B299-B298)*(A299-A298),""))</f>
        <v/>
      </c>
    </row>
    <row r="300" customFormat="false" ht="15" hidden="false" customHeight="true" outlineLevel="0" collapsed="false">
      <c r="A300" s="33"/>
      <c r="B300" s="33"/>
      <c r="C300" s="34"/>
      <c r="D300" s="30" t="str">
        <f aca="false">IF(OR(A300="",A299="",A300=A299),"",(B300-B299)/(A300-A299))</f>
        <v/>
      </c>
      <c r="E300" s="26" t="str">
        <f aca="false">IF(OR(B300="",B299="",$B$6=""),"",IF(AND(B299&lt;$B$6,B300&gt;=$B$6),A299+($B$6-B299)/(B300-B299)*(A300-A299),""))</f>
        <v/>
      </c>
    </row>
    <row r="301" customFormat="false" ht="15" hidden="false" customHeight="true" outlineLevel="0" collapsed="false">
      <c r="A301" s="33"/>
      <c r="B301" s="33"/>
      <c r="C301" s="34"/>
      <c r="D301" s="30" t="str">
        <f aca="false">IF(OR(A301="",A300="",A301=A300),"",(B301-B300)/(A301-A300))</f>
        <v/>
      </c>
      <c r="E301" s="26" t="str">
        <f aca="false">IF(OR(B301="",B300="",$B$6=""),"",IF(AND(B300&lt;$B$6,B301&gt;=$B$6),A300+($B$6-B300)/(B301-B300)*(A301-A300),""))</f>
        <v/>
      </c>
    </row>
    <row r="302" customFormat="false" ht="15" hidden="false" customHeight="true" outlineLevel="0" collapsed="false">
      <c r="A302" s="33"/>
      <c r="B302" s="33"/>
      <c r="C302" s="34"/>
      <c r="D302" s="30" t="str">
        <f aca="false">IF(OR(A302="",A301="",A302=A301),"",(B302-B301)/(A302-A301))</f>
        <v/>
      </c>
      <c r="E302" s="26" t="str">
        <f aca="false">IF(OR(B302="",B301="",$B$6=""),"",IF(AND(B301&lt;$B$6,B302&gt;=$B$6),A301+($B$6-B301)/(B302-B301)*(A302-A301),""))</f>
        <v/>
      </c>
    </row>
    <row r="303" customFormat="false" ht="15" hidden="false" customHeight="true" outlineLevel="0" collapsed="false">
      <c r="A303" s="33"/>
      <c r="B303" s="33"/>
      <c r="C303" s="34"/>
      <c r="D303" s="30" t="str">
        <f aca="false">IF(OR(A303="",A302="",A303=A302),"",(B303-B302)/(A303-A302))</f>
        <v/>
      </c>
      <c r="E303" s="26" t="str">
        <f aca="false">IF(OR(B303="",B302="",$B$6=""),"",IF(AND(B302&lt;$B$6,B303&gt;=$B$6),A302+($B$6-B302)/(B303-B302)*(A303-A302),""))</f>
        <v/>
      </c>
    </row>
    <row r="304" customFormat="false" ht="15" hidden="false" customHeight="true" outlineLevel="0" collapsed="false">
      <c r="A304" s="33"/>
      <c r="B304" s="33"/>
      <c r="C304" s="34"/>
      <c r="D304" s="30" t="str">
        <f aca="false">IF(OR(A304="",A303="",A304=A303),"",(B304-B303)/(A304-A303))</f>
        <v/>
      </c>
      <c r="E304" s="26" t="str">
        <f aca="false">IF(OR(B304="",B303="",$B$6=""),"",IF(AND(B303&lt;$B$6,B304&gt;=$B$6),A303+($B$6-B303)/(B304-B303)*(A304-A303),""))</f>
        <v/>
      </c>
    </row>
    <row r="305" customFormat="false" ht="15" hidden="false" customHeight="true" outlineLevel="0" collapsed="false">
      <c r="A305" s="33"/>
      <c r="B305" s="33"/>
      <c r="C305" s="34"/>
      <c r="D305" s="30" t="str">
        <f aca="false">IF(OR(A305="",A304="",A305=A304),"",(B305-B304)/(A305-A304))</f>
        <v/>
      </c>
      <c r="E305" s="26" t="str">
        <f aca="false">IF(OR(B305="",B304="",$B$6=""),"",IF(AND(B304&lt;$B$6,B305&gt;=$B$6),A304+($B$6-B304)/(B305-B304)*(A305-A304),""))</f>
        <v/>
      </c>
    </row>
    <row r="306" customFormat="false" ht="15" hidden="false" customHeight="true" outlineLevel="0" collapsed="false">
      <c r="A306" s="33"/>
      <c r="B306" s="33"/>
      <c r="C306" s="34"/>
      <c r="D306" s="30" t="str">
        <f aca="false">IF(OR(A306="",A305="",A306=A305),"",(B306-B305)/(A306-A305))</f>
        <v/>
      </c>
      <c r="E306" s="26" t="str">
        <f aca="false">IF(OR(B306="",B305="",$B$6=""),"",IF(AND(B305&lt;$B$6,B306&gt;=$B$6),A305+($B$6-B305)/(B306-B305)*(A306-A305),""))</f>
        <v/>
      </c>
    </row>
    <row r="307" customFormat="false" ht="15" hidden="false" customHeight="true" outlineLevel="0" collapsed="false">
      <c r="A307" s="33"/>
      <c r="B307" s="33"/>
      <c r="C307" s="34"/>
      <c r="D307" s="30" t="str">
        <f aca="false">IF(OR(A307="",A306="",A307=A306),"",(B307-B306)/(A307-A306))</f>
        <v/>
      </c>
      <c r="E307" s="26" t="str">
        <f aca="false">IF(OR(B307="",B306="",$B$6=""),"",IF(AND(B306&lt;$B$6,B307&gt;=$B$6),A306+($B$6-B306)/(B307-B306)*(A307-A306),""))</f>
        <v/>
      </c>
    </row>
    <row r="308" customFormat="false" ht="15" hidden="false" customHeight="true" outlineLevel="0" collapsed="false">
      <c r="A308" s="33"/>
      <c r="B308" s="33"/>
      <c r="C308" s="34"/>
      <c r="D308" s="30" t="str">
        <f aca="false">IF(OR(A308="",A307="",A308=A307),"",(B308-B307)/(A308-A307))</f>
        <v/>
      </c>
      <c r="E308" s="26" t="str">
        <f aca="false">IF(OR(B308="",B307="",$B$6=""),"",IF(AND(B307&lt;$B$6,B308&gt;=$B$6),A307+($B$6-B307)/(B308-B307)*(A308-A307),""))</f>
        <v/>
      </c>
    </row>
    <row r="309" customFormat="false" ht="15" hidden="false" customHeight="true" outlineLevel="0" collapsed="false">
      <c r="A309" s="33"/>
      <c r="B309" s="33"/>
      <c r="C309" s="34"/>
      <c r="D309" s="30" t="str">
        <f aca="false">IF(OR(A309="",A308="",A309=A308),"",(B309-B308)/(A309-A308))</f>
        <v/>
      </c>
      <c r="E309" s="26" t="str">
        <f aca="false">IF(OR(B309="",B308="",$B$6=""),"",IF(AND(B308&lt;$B$6,B309&gt;=$B$6),A308+($B$6-B308)/(B309-B308)*(A309-A308),""))</f>
        <v/>
      </c>
    </row>
    <row r="310" customFormat="false" ht="15" hidden="false" customHeight="true" outlineLevel="0" collapsed="false">
      <c r="A310" s="33"/>
      <c r="B310" s="33"/>
      <c r="C310" s="34"/>
      <c r="D310" s="30" t="str">
        <f aca="false">IF(OR(A310="",A309="",A310=A309),"",(B310-B309)/(A310-A309))</f>
        <v/>
      </c>
      <c r="E310" s="26" t="str">
        <f aca="false">IF(OR(B310="",B309="",$B$6=""),"",IF(AND(B309&lt;$B$6,B310&gt;=$B$6),A309+($B$6-B309)/(B310-B309)*(A310-A309),""))</f>
        <v/>
      </c>
    </row>
    <row r="311" customFormat="false" ht="15" hidden="false" customHeight="true" outlineLevel="0" collapsed="false">
      <c r="A311" s="33"/>
      <c r="B311" s="33"/>
      <c r="C311" s="34"/>
      <c r="D311" s="30" t="str">
        <f aca="false">IF(OR(A311="",A310="",A311=A310),"",(B311-B310)/(A311-A310))</f>
        <v/>
      </c>
      <c r="E311" s="26" t="str">
        <f aca="false">IF(OR(B311="",B310="",$B$6=""),"",IF(AND(B310&lt;$B$6,B311&gt;=$B$6),A310+($B$6-B310)/(B311-B310)*(A311-A310),""))</f>
        <v/>
      </c>
    </row>
    <row r="312" customFormat="false" ht="15" hidden="false" customHeight="true" outlineLevel="0" collapsed="false">
      <c r="A312" s="33"/>
      <c r="B312" s="33"/>
      <c r="C312" s="34"/>
      <c r="D312" s="30" t="str">
        <f aca="false">IF(OR(A312="",A311="",A312=A311),"",(B312-B311)/(A312-A311))</f>
        <v/>
      </c>
      <c r="E312" s="26" t="str">
        <f aca="false">IF(OR(B312="",B311="",$B$6=""),"",IF(AND(B311&lt;$B$6,B312&gt;=$B$6),A311+($B$6-B311)/(B312-B311)*(A312-A311),""))</f>
        <v/>
      </c>
    </row>
    <row r="313" customFormat="false" ht="15" hidden="false" customHeight="true" outlineLevel="0" collapsed="false">
      <c r="A313" s="33"/>
      <c r="B313" s="33"/>
      <c r="C313" s="34"/>
      <c r="D313" s="30" t="str">
        <f aca="false">IF(OR(A313="",A312="",A313=A312),"",(B313-B312)/(A313-A312))</f>
        <v/>
      </c>
      <c r="E313" s="26" t="str">
        <f aca="false">IF(OR(B313="",B312="",$B$6=""),"",IF(AND(B312&lt;$B$6,B313&gt;=$B$6),A312+($B$6-B312)/(B313-B312)*(A313-A312),""))</f>
        <v/>
      </c>
    </row>
    <row r="314" customFormat="false" ht="15" hidden="false" customHeight="true" outlineLevel="0" collapsed="false">
      <c r="A314" s="33"/>
      <c r="B314" s="33"/>
      <c r="C314" s="34"/>
      <c r="D314" s="30" t="str">
        <f aca="false">IF(OR(A314="",A313="",A314=A313),"",(B314-B313)/(A314-A313))</f>
        <v/>
      </c>
      <c r="E314" s="26" t="str">
        <f aca="false">IF(OR(B314="",B313="",$B$6=""),"",IF(AND(B313&lt;$B$6,B314&gt;=$B$6),A313+($B$6-B313)/(B314-B313)*(A314-A313),""))</f>
        <v/>
      </c>
    </row>
    <row r="315" customFormat="false" ht="15" hidden="false" customHeight="true" outlineLevel="0" collapsed="false">
      <c r="A315" s="33"/>
      <c r="B315" s="33"/>
      <c r="C315" s="34"/>
      <c r="D315" s="30" t="str">
        <f aca="false">IF(OR(A315="",A314="",A315=A314),"",(B315-B314)/(A315-A314))</f>
        <v/>
      </c>
      <c r="E315" s="26" t="str">
        <f aca="false">IF(OR(B315="",B314="",$B$6=""),"",IF(AND(B314&lt;$B$6,B315&gt;=$B$6),A314+($B$6-B314)/(B315-B314)*(A315-A314),""))</f>
        <v/>
      </c>
    </row>
    <row r="316" customFormat="false" ht="15" hidden="false" customHeight="true" outlineLevel="0" collapsed="false">
      <c r="A316" s="33"/>
      <c r="B316" s="33"/>
      <c r="C316" s="34"/>
      <c r="D316" s="30" t="str">
        <f aca="false">IF(OR(A316="",A315="",A316=A315),"",(B316-B315)/(A316-A315))</f>
        <v/>
      </c>
      <c r="E316" s="26" t="str">
        <f aca="false">IF(OR(B316="",B315="",$B$6=""),"",IF(AND(B315&lt;$B$6,B316&gt;=$B$6),A315+($B$6-B315)/(B316-B315)*(A316-A315),""))</f>
        <v/>
      </c>
    </row>
    <row r="317" customFormat="false" ht="15" hidden="false" customHeight="true" outlineLevel="0" collapsed="false">
      <c r="A317" s="33"/>
      <c r="B317" s="33"/>
      <c r="C317" s="34"/>
      <c r="D317" s="30" t="str">
        <f aca="false">IF(OR(A317="",A316="",A317=A316),"",(B317-B316)/(A317-A316))</f>
        <v/>
      </c>
      <c r="E317" s="26" t="str">
        <f aca="false">IF(OR(B317="",B316="",$B$6=""),"",IF(AND(B316&lt;$B$6,B317&gt;=$B$6),A316+($B$6-B316)/(B317-B316)*(A317-A316),""))</f>
        <v/>
      </c>
    </row>
    <row r="318" customFormat="false" ht="15" hidden="false" customHeight="true" outlineLevel="0" collapsed="false">
      <c r="A318" s="33"/>
      <c r="B318" s="33"/>
      <c r="C318" s="34"/>
      <c r="D318" s="30" t="str">
        <f aca="false">IF(OR(A318="",A317="",A318=A317),"",(B318-B317)/(A318-A317))</f>
        <v/>
      </c>
      <c r="E318" s="26" t="str">
        <f aca="false">IF(OR(B318="",B317="",$B$6=""),"",IF(AND(B317&lt;$B$6,B318&gt;=$B$6),A317+($B$6-B317)/(B318-B317)*(A318-A317),""))</f>
        <v/>
      </c>
    </row>
    <row r="319" customFormat="false" ht="15" hidden="false" customHeight="true" outlineLevel="0" collapsed="false">
      <c r="A319" s="33"/>
      <c r="B319" s="33"/>
      <c r="C319" s="34"/>
      <c r="D319" s="30" t="str">
        <f aca="false">IF(OR(A319="",A318="",A319=A318),"",(B319-B318)/(A319-A318))</f>
        <v/>
      </c>
      <c r="E319" s="26" t="str">
        <f aca="false">IF(OR(B319="",B318="",$B$6=""),"",IF(AND(B318&lt;$B$6,B319&gt;=$B$6),A318+($B$6-B318)/(B319-B318)*(A319-A318),""))</f>
        <v/>
      </c>
    </row>
    <row r="320" customFormat="false" ht="15" hidden="false" customHeight="true" outlineLevel="0" collapsed="false">
      <c r="A320" s="33"/>
      <c r="B320" s="33"/>
      <c r="C320" s="34"/>
      <c r="D320" s="30" t="str">
        <f aca="false">IF(OR(A320="",A319="",A320=A319),"",(B320-B319)/(A320-A319))</f>
        <v/>
      </c>
      <c r="E320" s="26" t="str">
        <f aca="false">IF(OR(B320="",B319="",$B$6=""),"",IF(AND(B319&lt;$B$6,B320&gt;=$B$6),A319+($B$6-B319)/(B320-B319)*(A320-A319),""))</f>
        <v/>
      </c>
    </row>
    <row r="321" customFormat="false" ht="15" hidden="false" customHeight="true" outlineLevel="0" collapsed="false">
      <c r="A321" s="33"/>
      <c r="B321" s="33"/>
      <c r="C321" s="34"/>
      <c r="D321" s="30" t="str">
        <f aca="false">IF(OR(A321="",A320="",A321=A320),"",(B321-B320)/(A321-A320))</f>
        <v/>
      </c>
      <c r="E321" s="26" t="str">
        <f aca="false">IF(OR(B321="",B320="",$B$6=""),"",IF(AND(B320&lt;$B$6,B321&gt;=$B$6),A320+($B$6-B320)/(B321-B320)*(A321-A320),""))</f>
        <v/>
      </c>
    </row>
    <row r="322" customFormat="false" ht="15" hidden="false" customHeight="true" outlineLevel="0" collapsed="false">
      <c r="A322" s="33"/>
      <c r="B322" s="33"/>
      <c r="C322" s="34"/>
      <c r="D322" s="30" t="str">
        <f aca="false">IF(OR(A322="",A321="",A322=A321),"",(B322-B321)/(A322-A321))</f>
        <v/>
      </c>
      <c r="E322" s="26" t="str">
        <f aca="false">IF(OR(B322="",B321="",$B$6=""),"",IF(AND(B321&lt;$B$6,B322&gt;=$B$6),A321+($B$6-B321)/(B322-B321)*(A322-A321),""))</f>
        <v/>
      </c>
    </row>
    <row r="323" customFormat="false" ht="15" hidden="false" customHeight="true" outlineLevel="0" collapsed="false">
      <c r="A323" s="33"/>
      <c r="B323" s="33"/>
      <c r="C323" s="34"/>
      <c r="D323" s="30" t="str">
        <f aca="false">IF(OR(A323="",A322="",A323=A322),"",(B323-B322)/(A323-A322))</f>
        <v/>
      </c>
      <c r="E323" s="26" t="str">
        <f aca="false">IF(OR(B323="",B322="",$B$6=""),"",IF(AND(B322&lt;$B$6,B323&gt;=$B$6),A322+($B$6-B322)/(B323-B322)*(A323-A322),""))</f>
        <v/>
      </c>
    </row>
    <row r="324" customFormat="false" ht="15" hidden="false" customHeight="true" outlineLevel="0" collapsed="false">
      <c r="A324" s="33"/>
      <c r="B324" s="33"/>
      <c r="C324" s="34"/>
      <c r="D324" s="30" t="str">
        <f aca="false">IF(OR(A324="",A323="",A324=A323),"",(B324-B323)/(A324-A323))</f>
        <v/>
      </c>
      <c r="E324" s="26" t="str">
        <f aca="false">IF(OR(B324="",B323="",$B$6=""),"",IF(AND(B323&lt;$B$6,B324&gt;=$B$6),A323+($B$6-B323)/(B324-B323)*(A324-A323),""))</f>
        <v/>
      </c>
    </row>
    <row r="325" customFormat="false" ht="15" hidden="false" customHeight="true" outlineLevel="0" collapsed="false">
      <c r="A325" s="33"/>
      <c r="B325" s="33"/>
      <c r="C325" s="34"/>
      <c r="D325" s="30" t="str">
        <f aca="false">IF(OR(A325="",A324="",A325=A324),"",(B325-B324)/(A325-A324))</f>
        <v/>
      </c>
      <c r="E325" s="26" t="str">
        <f aca="false">IF(OR(B325="",B324="",$B$6=""),"",IF(AND(B324&lt;$B$6,B325&gt;=$B$6),A324+($B$6-B324)/(B325-B324)*(A325-A324),""))</f>
        <v/>
      </c>
    </row>
    <row r="326" customFormat="false" ht="15" hidden="false" customHeight="true" outlineLevel="0" collapsed="false">
      <c r="A326" s="33"/>
      <c r="B326" s="33"/>
      <c r="C326" s="34"/>
      <c r="D326" s="30" t="str">
        <f aca="false">IF(OR(A326="",A325="",A326=A325),"",(B326-B325)/(A326-A325))</f>
        <v/>
      </c>
      <c r="E326" s="26" t="str">
        <f aca="false">IF(OR(B326="",B325="",$B$6=""),"",IF(AND(B325&lt;$B$6,B326&gt;=$B$6),A325+($B$6-B325)/(B326-B325)*(A326-A325),""))</f>
        <v/>
      </c>
    </row>
    <row r="327" customFormat="false" ht="15" hidden="false" customHeight="true" outlineLevel="0" collapsed="false">
      <c r="A327" s="33"/>
      <c r="B327" s="33"/>
      <c r="C327" s="34"/>
      <c r="D327" s="30" t="str">
        <f aca="false">IF(OR(A327="",A326="",A327=A326),"",(B327-B326)/(A327-A326))</f>
        <v/>
      </c>
      <c r="E327" s="26" t="str">
        <f aca="false">IF(OR(B327="",B326="",$B$6=""),"",IF(AND(B326&lt;$B$6,B327&gt;=$B$6),A326+($B$6-B326)/(B327-B326)*(A327-A326),""))</f>
        <v/>
      </c>
    </row>
    <row r="328" customFormat="false" ht="15" hidden="false" customHeight="true" outlineLevel="0" collapsed="false">
      <c r="A328" s="33"/>
      <c r="B328" s="33"/>
      <c r="C328" s="34"/>
      <c r="D328" s="30" t="str">
        <f aca="false">IF(OR(A328="",A327="",A328=A327),"",(B328-B327)/(A328-A327))</f>
        <v/>
      </c>
      <c r="E328" s="26" t="str">
        <f aca="false">IF(OR(B328="",B327="",$B$6=""),"",IF(AND(B327&lt;$B$6,B328&gt;=$B$6),A327+($B$6-B327)/(B328-B327)*(A328-A327),""))</f>
        <v/>
      </c>
    </row>
    <row r="329" customFormat="false" ht="15" hidden="false" customHeight="true" outlineLevel="0" collapsed="false">
      <c r="A329" s="33"/>
      <c r="B329" s="33"/>
      <c r="C329" s="34"/>
      <c r="D329" s="30" t="str">
        <f aca="false">IF(OR(A329="",A328="",A329=A328),"",(B329-B328)/(A329-A328))</f>
        <v/>
      </c>
      <c r="E329" s="26" t="str">
        <f aca="false">IF(OR(B329="",B328="",$B$6=""),"",IF(AND(B328&lt;$B$6,B329&gt;=$B$6),A328+($B$6-B328)/(B329-B328)*(A329-A328),""))</f>
        <v/>
      </c>
    </row>
    <row r="330" customFormat="false" ht="15" hidden="false" customHeight="true" outlineLevel="0" collapsed="false">
      <c r="A330" s="33"/>
      <c r="B330" s="33"/>
      <c r="C330" s="34"/>
      <c r="D330" s="30" t="str">
        <f aca="false">IF(OR(A330="",A329="",A330=A329),"",(B330-B329)/(A330-A329))</f>
        <v/>
      </c>
      <c r="E330" s="26" t="str">
        <f aca="false">IF(OR(B330="",B329="",$B$6=""),"",IF(AND(B329&lt;$B$6,B330&gt;=$B$6),A329+($B$6-B329)/(B330-B329)*(A330-A329),""))</f>
        <v/>
      </c>
    </row>
    <row r="331" customFormat="false" ht="15" hidden="false" customHeight="true" outlineLevel="0" collapsed="false">
      <c r="A331" s="33"/>
      <c r="B331" s="33"/>
      <c r="C331" s="34"/>
      <c r="D331" s="30" t="str">
        <f aca="false">IF(OR(A331="",A330="",A331=A330),"",(B331-B330)/(A331-A330))</f>
        <v/>
      </c>
      <c r="E331" s="26" t="str">
        <f aca="false">IF(OR(B331="",B330="",$B$6=""),"",IF(AND(B330&lt;$B$6,B331&gt;=$B$6),A330+($B$6-B330)/(B331-B330)*(A331-A330),""))</f>
        <v/>
      </c>
    </row>
    <row r="332" customFormat="false" ht="15" hidden="false" customHeight="true" outlineLevel="0" collapsed="false">
      <c r="A332" s="33"/>
      <c r="B332" s="33"/>
      <c r="C332" s="34"/>
      <c r="D332" s="30" t="str">
        <f aca="false">IF(OR(A332="",A331="",A332=A331),"",(B332-B331)/(A332-A331))</f>
        <v/>
      </c>
      <c r="E332" s="26" t="str">
        <f aca="false">IF(OR(B332="",B331="",$B$6=""),"",IF(AND(B331&lt;$B$6,B332&gt;=$B$6),A331+($B$6-B331)/(B332-B331)*(A332-A331),""))</f>
        <v/>
      </c>
    </row>
    <row r="333" customFormat="false" ht="15" hidden="false" customHeight="true" outlineLevel="0" collapsed="false">
      <c r="A333" s="33"/>
      <c r="B333" s="33"/>
      <c r="C333" s="34"/>
      <c r="D333" s="30" t="str">
        <f aca="false">IF(OR(A333="",A332="",A333=A332),"",(B333-B332)/(A333-A332))</f>
        <v/>
      </c>
      <c r="E333" s="26" t="str">
        <f aca="false">IF(OR(B333="",B332="",$B$6=""),"",IF(AND(B332&lt;$B$6,B333&gt;=$B$6),A332+($B$6-B332)/(B333-B332)*(A333-A332),""))</f>
        <v/>
      </c>
    </row>
    <row r="334" customFormat="false" ht="15" hidden="false" customHeight="true" outlineLevel="0" collapsed="false">
      <c r="A334" s="33"/>
      <c r="B334" s="33"/>
      <c r="C334" s="34"/>
      <c r="D334" s="30" t="str">
        <f aca="false">IF(OR(A334="",A333="",A334=A333),"",(B334-B333)/(A334-A333))</f>
        <v/>
      </c>
      <c r="E334" s="26" t="str">
        <f aca="false">IF(OR(B334="",B333="",$B$6=""),"",IF(AND(B333&lt;$B$6,B334&gt;=$B$6),A333+($B$6-B333)/(B334-B333)*(A334-A333),""))</f>
        <v/>
      </c>
    </row>
    <row r="335" customFormat="false" ht="15" hidden="false" customHeight="true" outlineLevel="0" collapsed="false">
      <c r="A335" s="33"/>
      <c r="B335" s="33"/>
      <c r="C335" s="34"/>
      <c r="D335" s="30" t="str">
        <f aca="false">IF(OR(A335="",A334="",A335=A334),"",(B335-B334)/(A335-A334))</f>
        <v/>
      </c>
      <c r="E335" s="26" t="str">
        <f aca="false">IF(OR(B335="",B334="",$B$6=""),"",IF(AND(B334&lt;$B$6,B335&gt;=$B$6),A334+($B$6-B334)/(B335-B334)*(A335-A334),""))</f>
        <v/>
      </c>
    </row>
    <row r="336" customFormat="false" ht="15" hidden="false" customHeight="true" outlineLevel="0" collapsed="false">
      <c r="A336" s="33"/>
      <c r="B336" s="33"/>
      <c r="C336" s="34"/>
      <c r="D336" s="30" t="str">
        <f aca="false">IF(OR(A336="",A335="",A336=A335),"",(B336-B335)/(A336-A335))</f>
        <v/>
      </c>
      <c r="E336" s="26" t="str">
        <f aca="false">IF(OR(B336="",B335="",$B$6=""),"",IF(AND(B335&lt;$B$6,B336&gt;=$B$6),A335+($B$6-B335)/(B336-B335)*(A336-A335),""))</f>
        <v/>
      </c>
    </row>
    <row r="337" customFormat="false" ht="15" hidden="false" customHeight="true" outlineLevel="0" collapsed="false">
      <c r="A337" s="33"/>
      <c r="B337" s="33"/>
      <c r="C337" s="34"/>
      <c r="D337" s="30" t="str">
        <f aca="false">IF(OR(A337="",A336="",A337=A336),"",(B337-B336)/(A337-A336))</f>
        <v/>
      </c>
      <c r="E337" s="26" t="str">
        <f aca="false">IF(OR(B337="",B336="",$B$6=""),"",IF(AND(B336&lt;$B$6,B337&gt;=$B$6),A336+($B$6-B336)/(B337-B336)*(A337-A336),""))</f>
        <v/>
      </c>
    </row>
    <row r="338" customFormat="false" ht="15" hidden="false" customHeight="true" outlineLevel="0" collapsed="false">
      <c r="A338" s="33"/>
      <c r="B338" s="33"/>
      <c r="C338" s="34"/>
      <c r="D338" s="30" t="str">
        <f aca="false">IF(OR(A338="",A337="",A338=A337),"",(B338-B337)/(A338-A337))</f>
        <v/>
      </c>
      <c r="E338" s="26" t="str">
        <f aca="false">IF(OR(B338="",B337="",$B$6=""),"",IF(AND(B337&lt;$B$6,B338&gt;=$B$6),A337+($B$6-B337)/(B338-B337)*(A338-A337),""))</f>
        <v/>
      </c>
    </row>
    <row r="339" customFormat="false" ht="15" hidden="false" customHeight="true" outlineLevel="0" collapsed="false">
      <c r="A339" s="33"/>
      <c r="B339" s="33"/>
      <c r="C339" s="34"/>
      <c r="D339" s="30" t="str">
        <f aca="false">IF(OR(A339="",A338="",A339=A338),"",(B339-B338)/(A339-A338))</f>
        <v/>
      </c>
      <c r="E339" s="26" t="str">
        <f aca="false">IF(OR(B339="",B338="",$B$6=""),"",IF(AND(B338&lt;$B$6,B339&gt;=$B$6),A338+($B$6-B338)/(B339-B338)*(A339-A338),""))</f>
        <v/>
      </c>
    </row>
    <row r="340" customFormat="false" ht="15" hidden="false" customHeight="true" outlineLevel="0" collapsed="false">
      <c r="A340" s="33"/>
      <c r="B340" s="33"/>
      <c r="C340" s="34"/>
      <c r="D340" s="30" t="str">
        <f aca="false">IF(OR(A340="",A339="",A340=A339),"",(B340-B339)/(A340-A339))</f>
        <v/>
      </c>
      <c r="E340" s="26" t="str">
        <f aca="false">IF(OR(B340="",B339="",$B$6=""),"",IF(AND(B339&lt;$B$6,B340&gt;=$B$6),A339+($B$6-B339)/(B340-B339)*(A340-A339),""))</f>
        <v/>
      </c>
    </row>
    <row r="341" customFormat="false" ht="15" hidden="false" customHeight="true" outlineLevel="0" collapsed="false">
      <c r="A341" s="33"/>
      <c r="B341" s="33"/>
      <c r="C341" s="34"/>
      <c r="D341" s="30" t="str">
        <f aca="false">IF(OR(A341="",A340="",A341=A340),"",(B341-B340)/(A341-A340))</f>
        <v/>
      </c>
      <c r="E341" s="26" t="str">
        <f aca="false">IF(OR(B341="",B340="",$B$6=""),"",IF(AND(B340&lt;$B$6,B341&gt;=$B$6),A340+($B$6-B340)/(B341-B340)*(A341-A340),""))</f>
        <v/>
      </c>
    </row>
    <row r="342" customFormat="false" ht="15" hidden="false" customHeight="true" outlineLevel="0" collapsed="false">
      <c r="A342" s="33"/>
      <c r="B342" s="33"/>
      <c r="C342" s="34"/>
      <c r="D342" s="30" t="str">
        <f aca="false">IF(OR(A342="",A341="",A342=A341),"",(B342-B341)/(A342-A341))</f>
        <v/>
      </c>
      <c r="E342" s="26" t="str">
        <f aca="false">IF(OR(B342="",B341="",$B$6=""),"",IF(AND(B341&lt;$B$6,B342&gt;=$B$6),A341+($B$6-B341)/(B342-B341)*(A342-A341),""))</f>
        <v/>
      </c>
    </row>
    <row r="343" customFormat="false" ht="15" hidden="false" customHeight="true" outlineLevel="0" collapsed="false">
      <c r="A343" s="33"/>
      <c r="B343" s="33"/>
      <c r="C343" s="34"/>
      <c r="D343" s="30" t="str">
        <f aca="false">IF(OR(A343="",A342="",A343=A342),"",(B343-B342)/(A343-A342))</f>
        <v/>
      </c>
      <c r="E343" s="26" t="str">
        <f aca="false">IF(OR(B343="",B342="",$B$6=""),"",IF(AND(B342&lt;$B$6,B343&gt;=$B$6),A342+($B$6-B342)/(B343-B342)*(A343-A342),""))</f>
        <v/>
      </c>
    </row>
    <row r="344" customFormat="false" ht="15" hidden="false" customHeight="true" outlineLevel="0" collapsed="false">
      <c r="A344" s="33"/>
      <c r="B344" s="33"/>
      <c r="C344" s="34"/>
      <c r="D344" s="30" t="str">
        <f aca="false">IF(OR(A344="",A343="",A344=A343),"",(B344-B343)/(A344-A343))</f>
        <v/>
      </c>
      <c r="E344" s="26" t="str">
        <f aca="false">IF(OR(B344="",B343="",$B$6=""),"",IF(AND(B343&lt;$B$6,B344&gt;=$B$6),A343+($B$6-B343)/(B344-B343)*(A344-A343),""))</f>
        <v/>
      </c>
    </row>
    <row r="345" customFormat="false" ht="15" hidden="false" customHeight="true" outlineLevel="0" collapsed="false">
      <c r="A345" s="33"/>
      <c r="B345" s="33"/>
      <c r="C345" s="34"/>
      <c r="D345" s="30" t="str">
        <f aca="false">IF(OR(A345="",A344="",A345=A344),"",(B345-B344)/(A345-A344))</f>
        <v/>
      </c>
      <c r="E345" s="26" t="str">
        <f aca="false">IF(OR(B345="",B344="",$B$6=""),"",IF(AND(B344&lt;$B$6,B345&gt;=$B$6),A344+($B$6-B344)/(B345-B344)*(A345-A344),""))</f>
        <v/>
      </c>
    </row>
    <row r="346" customFormat="false" ht="15" hidden="false" customHeight="true" outlineLevel="0" collapsed="false">
      <c r="A346" s="33"/>
      <c r="B346" s="33"/>
      <c r="C346" s="34"/>
      <c r="D346" s="30" t="str">
        <f aca="false">IF(OR(A346="",A345="",A346=A345),"",(B346-B345)/(A346-A345))</f>
        <v/>
      </c>
      <c r="E346" s="26" t="str">
        <f aca="false">IF(OR(B346="",B345="",$B$6=""),"",IF(AND(B345&lt;$B$6,B346&gt;=$B$6),A345+($B$6-B345)/(B346-B345)*(A346-A345),""))</f>
        <v/>
      </c>
    </row>
    <row r="347" customFormat="false" ht="15" hidden="false" customHeight="true" outlineLevel="0" collapsed="false">
      <c r="A347" s="33"/>
      <c r="B347" s="33"/>
      <c r="C347" s="34"/>
      <c r="D347" s="30" t="str">
        <f aca="false">IF(OR(A347="",A346="",A347=A346),"",(B347-B346)/(A347-A346))</f>
        <v/>
      </c>
      <c r="E347" s="26" t="str">
        <f aca="false">IF(OR(B347="",B346="",$B$6=""),"",IF(AND(B346&lt;$B$6,B347&gt;=$B$6),A346+($B$6-B346)/(B347-B346)*(A347-A346),""))</f>
        <v/>
      </c>
    </row>
    <row r="348" customFormat="false" ht="15" hidden="false" customHeight="true" outlineLevel="0" collapsed="false">
      <c r="A348" s="33"/>
      <c r="B348" s="33"/>
      <c r="C348" s="34"/>
      <c r="D348" s="30" t="str">
        <f aca="false">IF(OR(A348="",A347="",A348=A347),"",(B348-B347)/(A348-A347))</f>
        <v/>
      </c>
      <c r="E348" s="26" t="str">
        <f aca="false">IF(OR(B348="",B347="",$B$6=""),"",IF(AND(B347&lt;$B$6,B348&gt;=$B$6),A347+($B$6-B347)/(B348-B347)*(A348-A347),""))</f>
        <v/>
      </c>
    </row>
    <row r="349" customFormat="false" ht="15" hidden="false" customHeight="true" outlineLevel="0" collapsed="false">
      <c r="A349" s="33"/>
      <c r="B349" s="33"/>
      <c r="C349" s="34"/>
      <c r="D349" s="30" t="str">
        <f aca="false">IF(OR(A349="",A348="",A349=A348),"",(B349-B348)/(A349-A348))</f>
        <v/>
      </c>
      <c r="E349" s="26" t="str">
        <f aca="false">IF(OR(B349="",B348="",$B$6=""),"",IF(AND(B348&lt;$B$6,B349&gt;=$B$6),A348+($B$6-B348)/(B349-B348)*(A349-A348),""))</f>
        <v/>
      </c>
    </row>
    <row r="350" customFormat="false" ht="15" hidden="false" customHeight="true" outlineLevel="0" collapsed="false">
      <c r="A350" s="33"/>
      <c r="B350" s="33"/>
      <c r="C350" s="34"/>
      <c r="D350" s="30" t="str">
        <f aca="false">IF(OR(A350="",A349="",A350=A349),"",(B350-B349)/(A350-A349))</f>
        <v/>
      </c>
      <c r="E350" s="26" t="str">
        <f aca="false">IF(OR(B350="",B349="",$B$6=""),"",IF(AND(B349&lt;$B$6,B350&gt;=$B$6),A349+($B$6-B349)/(B350-B349)*(A350-A349),""))</f>
        <v/>
      </c>
    </row>
    <row r="351" customFormat="false" ht="15" hidden="false" customHeight="true" outlineLevel="0" collapsed="false">
      <c r="A351" s="33"/>
      <c r="B351" s="33"/>
      <c r="C351" s="34"/>
      <c r="D351" s="30" t="str">
        <f aca="false">IF(OR(A351="",A350="",A351=A350),"",(B351-B350)/(A351-A350))</f>
        <v/>
      </c>
      <c r="E351" s="26" t="str">
        <f aca="false">IF(OR(B351="",B350="",$B$6=""),"",IF(AND(B350&lt;$B$6,B351&gt;=$B$6),A350+($B$6-B350)/(B351-B350)*(A351-A350),""))</f>
        <v/>
      </c>
    </row>
    <row r="352" customFormat="false" ht="15" hidden="false" customHeight="true" outlineLevel="0" collapsed="false">
      <c r="A352" s="33"/>
      <c r="B352" s="33"/>
      <c r="C352" s="34"/>
      <c r="D352" s="30" t="str">
        <f aca="false">IF(OR(A352="",A351="",A352=A351),"",(B352-B351)/(A352-A351))</f>
        <v/>
      </c>
      <c r="E352" s="26" t="str">
        <f aca="false">IF(OR(B352="",B351="",$B$6=""),"",IF(AND(B351&lt;$B$6,B352&gt;=$B$6),A351+($B$6-B351)/(B352-B351)*(A352-A351),""))</f>
        <v/>
      </c>
    </row>
    <row r="353" customFormat="false" ht="15" hidden="false" customHeight="true" outlineLevel="0" collapsed="false">
      <c r="A353" s="33"/>
      <c r="B353" s="33"/>
      <c r="C353" s="34"/>
      <c r="D353" s="30" t="str">
        <f aca="false">IF(OR(A353="",A352="",A353=A352),"",(B353-B352)/(A353-A352))</f>
        <v/>
      </c>
      <c r="E353" s="26" t="str">
        <f aca="false">IF(OR(B353="",B352="",$B$6=""),"",IF(AND(B352&lt;$B$6,B353&gt;=$B$6),A352+($B$6-B352)/(B353-B352)*(A353-A352),""))</f>
        <v/>
      </c>
    </row>
    <row r="354" customFormat="false" ht="15" hidden="false" customHeight="true" outlineLevel="0" collapsed="false">
      <c r="A354" s="33"/>
      <c r="B354" s="33"/>
      <c r="C354" s="34"/>
      <c r="D354" s="30" t="str">
        <f aca="false">IF(OR(A354="",A353="",A354=A353),"",(B354-B353)/(A354-A353))</f>
        <v/>
      </c>
      <c r="E354" s="26" t="str">
        <f aca="false">IF(OR(B354="",B353="",$B$6=""),"",IF(AND(B353&lt;$B$6,B354&gt;=$B$6),A353+($B$6-B353)/(B354-B353)*(A354-A353),""))</f>
        <v/>
      </c>
    </row>
    <row r="355" customFormat="false" ht="15" hidden="false" customHeight="true" outlineLevel="0" collapsed="false">
      <c r="A355" s="33"/>
      <c r="B355" s="33"/>
      <c r="C355" s="34"/>
      <c r="D355" s="30" t="str">
        <f aca="false">IF(OR(A355="",A354="",A355=A354),"",(B355-B354)/(A355-A354))</f>
        <v/>
      </c>
      <c r="E355" s="26" t="str">
        <f aca="false">IF(OR(B355="",B354="",$B$6=""),"",IF(AND(B354&lt;$B$6,B355&gt;=$B$6),A354+($B$6-B354)/(B355-B354)*(A355-A354),""))</f>
        <v/>
      </c>
    </row>
    <row r="356" customFormat="false" ht="15" hidden="false" customHeight="true" outlineLevel="0" collapsed="false">
      <c r="A356" s="33"/>
      <c r="B356" s="33"/>
      <c r="C356" s="34"/>
      <c r="D356" s="30" t="str">
        <f aca="false">IF(OR(A356="",A355="",A356=A355),"",(B356-B355)/(A356-A355))</f>
        <v/>
      </c>
      <c r="E356" s="26" t="str">
        <f aca="false">IF(OR(B356="",B355="",$B$6=""),"",IF(AND(B355&lt;$B$6,B356&gt;=$B$6),A355+($B$6-B355)/(B356-B355)*(A356-A355),""))</f>
        <v/>
      </c>
    </row>
    <row r="357" customFormat="false" ht="15" hidden="false" customHeight="true" outlineLevel="0" collapsed="false">
      <c r="A357" s="33"/>
      <c r="B357" s="33"/>
      <c r="C357" s="34"/>
      <c r="D357" s="30" t="str">
        <f aca="false">IF(OR(A357="",A356="",A357=A356),"",(B357-B356)/(A357-A356))</f>
        <v/>
      </c>
      <c r="E357" s="26" t="str">
        <f aca="false">IF(OR(B357="",B356="",$B$6=""),"",IF(AND(B356&lt;$B$6,B357&gt;=$B$6),A356+($B$6-B356)/(B357-B356)*(A357-A356),""))</f>
        <v/>
      </c>
    </row>
    <row r="358" customFormat="false" ht="15" hidden="false" customHeight="true" outlineLevel="0" collapsed="false">
      <c r="A358" s="33"/>
      <c r="B358" s="33"/>
      <c r="C358" s="34"/>
      <c r="D358" s="30" t="str">
        <f aca="false">IF(OR(A358="",A357="",A358=A357),"",(B358-B357)/(A358-A357))</f>
        <v/>
      </c>
      <c r="E358" s="26" t="str">
        <f aca="false">IF(OR(B358="",B357="",$B$6=""),"",IF(AND(B357&lt;$B$6,B358&gt;=$B$6),A357+($B$6-B357)/(B358-B357)*(A358-A357),""))</f>
        <v/>
      </c>
    </row>
    <row r="359" customFormat="false" ht="15" hidden="false" customHeight="true" outlineLevel="0" collapsed="false">
      <c r="A359" s="33"/>
      <c r="B359" s="33"/>
      <c r="C359" s="34"/>
      <c r="D359" s="30" t="str">
        <f aca="false">IF(OR(A359="",A358="",A359=A358),"",(B359-B358)/(A359-A358))</f>
        <v/>
      </c>
      <c r="E359" s="26" t="str">
        <f aca="false">IF(OR(B359="",B358="",$B$6=""),"",IF(AND(B358&lt;$B$6,B359&gt;=$B$6),A358+($B$6-B358)/(B359-B358)*(A359-A358),""))</f>
        <v/>
      </c>
    </row>
    <row r="360" customFormat="false" ht="15" hidden="false" customHeight="true" outlineLevel="0" collapsed="false">
      <c r="A360" s="33"/>
      <c r="B360" s="33"/>
      <c r="C360" s="34"/>
      <c r="D360" s="30" t="str">
        <f aca="false">IF(OR(A360="",A359="",A360=A359),"",(B360-B359)/(A360-A359))</f>
        <v/>
      </c>
      <c r="E360" s="26" t="str">
        <f aca="false">IF(OR(B360="",B359="",$B$6=""),"",IF(AND(B359&lt;$B$6,B360&gt;=$B$6),A359+($B$6-B359)/(B360-B359)*(A360-A359),""))</f>
        <v/>
      </c>
    </row>
    <row r="361" customFormat="false" ht="15" hidden="false" customHeight="true" outlineLevel="0" collapsed="false">
      <c r="A361" s="33"/>
      <c r="B361" s="33"/>
      <c r="C361" s="34"/>
      <c r="D361" s="30" t="str">
        <f aca="false">IF(OR(A361="",A360="",A361=A360),"",(B361-B360)/(A361-A360))</f>
        <v/>
      </c>
      <c r="E361" s="26" t="str">
        <f aca="false">IF(OR(B361="",B360="",$B$6=""),"",IF(AND(B360&lt;$B$6,B361&gt;=$B$6),A360+($B$6-B360)/(B361-B360)*(A361-A360),""))</f>
        <v/>
      </c>
    </row>
    <row r="362" customFormat="false" ht="15" hidden="false" customHeight="true" outlineLevel="0" collapsed="false">
      <c r="A362" s="33"/>
      <c r="B362" s="33"/>
      <c r="C362" s="34"/>
      <c r="D362" s="30" t="str">
        <f aca="false">IF(OR(A362="",A361="",A362=A361),"",(B362-B361)/(A362-A361))</f>
        <v/>
      </c>
      <c r="E362" s="26" t="str">
        <f aca="false">IF(OR(B362="",B361="",$B$6=""),"",IF(AND(B361&lt;$B$6,B362&gt;=$B$6),A361+($B$6-B361)/(B362-B361)*(A362-A361),""))</f>
        <v/>
      </c>
    </row>
    <row r="363" customFormat="false" ht="15" hidden="false" customHeight="true" outlineLevel="0" collapsed="false">
      <c r="A363" s="33"/>
      <c r="B363" s="33"/>
      <c r="C363" s="34"/>
      <c r="D363" s="30" t="str">
        <f aca="false">IF(OR(A363="",A362="",A363=A362),"",(B363-B362)/(A363-A362))</f>
        <v/>
      </c>
      <c r="E363" s="26" t="str">
        <f aca="false">IF(OR(B363="",B362="",$B$6=""),"",IF(AND(B362&lt;$B$6,B363&gt;=$B$6),A362+($B$6-B362)/(B363-B362)*(A363-A362),""))</f>
        <v/>
      </c>
    </row>
    <row r="364" customFormat="false" ht="15" hidden="false" customHeight="true" outlineLevel="0" collapsed="false">
      <c r="A364" s="33"/>
      <c r="B364" s="33"/>
      <c r="C364" s="34"/>
      <c r="D364" s="30" t="str">
        <f aca="false">IF(OR(A364="",A363="",A364=A363),"",(B364-B363)/(A364-A363))</f>
        <v/>
      </c>
      <c r="E364" s="26" t="str">
        <f aca="false">IF(OR(B364="",B363="",$B$6=""),"",IF(AND(B363&lt;$B$6,B364&gt;=$B$6),A363+($B$6-B363)/(B364-B363)*(A364-A363),""))</f>
        <v/>
      </c>
    </row>
    <row r="365" customFormat="false" ht="15" hidden="false" customHeight="true" outlineLevel="0" collapsed="false">
      <c r="A365" s="33"/>
      <c r="B365" s="33"/>
      <c r="C365" s="34"/>
      <c r="D365" s="30" t="str">
        <f aca="false">IF(OR(A365="",A364="",A365=A364),"",(B365-B364)/(A365-A364))</f>
        <v/>
      </c>
      <c r="E365" s="26" t="str">
        <f aca="false">IF(OR(B365="",B364="",$B$6=""),"",IF(AND(B364&lt;$B$6,B365&gt;=$B$6),A364+($B$6-B364)/(B365-B364)*(A365-A364),""))</f>
        <v/>
      </c>
    </row>
    <row r="366" customFormat="false" ht="15" hidden="false" customHeight="true" outlineLevel="0" collapsed="false">
      <c r="A366" s="33"/>
      <c r="B366" s="33"/>
      <c r="C366" s="34"/>
      <c r="D366" s="30" t="str">
        <f aca="false">IF(OR(A366="",A365="",A366=A365),"",(B366-B365)/(A366-A365))</f>
        <v/>
      </c>
      <c r="E366" s="26" t="str">
        <f aca="false">IF(OR(B366="",B365="",$B$6=""),"",IF(AND(B365&lt;$B$6,B366&gt;=$B$6),A365+($B$6-B365)/(B366-B365)*(A366-A365),""))</f>
        <v/>
      </c>
    </row>
    <row r="367" customFormat="false" ht="15" hidden="false" customHeight="true" outlineLevel="0" collapsed="false">
      <c r="A367" s="33"/>
      <c r="B367" s="33"/>
      <c r="C367" s="34"/>
      <c r="D367" s="30" t="str">
        <f aca="false">IF(OR(A367="",A366="",A367=A366),"",(B367-B366)/(A367-A366))</f>
        <v/>
      </c>
      <c r="E367" s="26" t="str">
        <f aca="false">IF(OR(B367="",B366="",$B$6=""),"",IF(AND(B366&lt;$B$6,B367&gt;=$B$6),A366+($B$6-B366)/(B367-B366)*(A367-A366),""))</f>
        <v/>
      </c>
    </row>
    <row r="368" customFormat="false" ht="15" hidden="false" customHeight="true" outlineLevel="0" collapsed="false">
      <c r="A368" s="33"/>
      <c r="B368" s="33"/>
      <c r="C368" s="34"/>
      <c r="D368" s="30" t="str">
        <f aca="false">IF(OR(A368="",A367="",A368=A367),"",(B368-B367)/(A368-A367))</f>
        <v/>
      </c>
      <c r="E368" s="26" t="str">
        <f aca="false">IF(OR(B368="",B367="",$B$6=""),"",IF(AND(B367&lt;$B$6,B368&gt;=$B$6),A367+($B$6-B367)/(B368-B367)*(A368-A367),""))</f>
        <v/>
      </c>
    </row>
    <row r="369" customFormat="false" ht="15" hidden="false" customHeight="true" outlineLevel="0" collapsed="false">
      <c r="A369" s="33"/>
      <c r="B369" s="33"/>
      <c r="C369" s="34"/>
      <c r="D369" s="30" t="str">
        <f aca="false">IF(OR(A369="",A368="",A369=A368),"",(B369-B368)/(A369-A368))</f>
        <v/>
      </c>
      <c r="E369" s="26" t="str">
        <f aca="false">IF(OR(B369="",B368="",$B$6=""),"",IF(AND(B368&lt;$B$6,B369&gt;=$B$6),A368+($B$6-B368)/(B369-B368)*(A369-A368),""))</f>
        <v/>
      </c>
    </row>
    <row r="370" customFormat="false" ht="15" hidden="false" customHeight="true" outlineLevel="0" collapsed="false">
      <c r="A370" s="33"/>
      <c r="B370" s="33"/>
      <c r="C370" s="34"/>
      <c r="D370" s="30" t="str">
        <f aca="false">IF(OR(A370="",A369="",A370=A369),"",(B370-B369)/(A370-A369))</f>
        <v/>
      </c>
      <c r="E370" s="26" t="str">
        <f aca="false">IF(OR(B370="",B369="",$B$6=""),"",IF(AND(B369&lt;$B$6,B370&gt;=$B$6),A369+($B$6-B369)/(B370-B369)*(A370-A369),""))</f>
        <v/>
      </c>
    </row>
    <row r="371" customFormat="false" ht="15" hidden="false" customHeight="true" outlineLevel="0" collapsed="false">
      <c r="A371" s="33"/>
      <c r="B371" s="33"/>
      <c r="C371" s="34"/>
      <c r="D371" s="30" t="str">
        <f aca="false">IF(OR(A371="",A370="",A371=A370),"",(B371-B370)/(A371-A370))</f>
        <v/>
      </c>
      <c r="E371" s="26" t="str">
        <f aca="false">IF(OR(B371="",B370="",$B$6=""),"",IF(AND(B370&lt;$B$6,B371&gt;=$B$6),A370+($B$6-B370)/(B371-B370)*(A371-A370),""))</f>
        <v/>
      </c>
    </row>
    <row r="372" customFormat="false" ht="15" hidden="false" customHeight="true" outlineLevel="0" collapsed="false">
      <c r="A372" s="33"/>
      <c r="B372" s="33"/>
      <c r="C372" s="34"/>
      <c r="D372" s="30" t="str">
        <f aca="false">IF(OR(A372="",A371="",A372=A371),"",(B372-B371)/(A372-A371))</f>
        <v/>
      </c>
      <c r="E372" s="26" t="str">
        <f aca="false">IF(OR(B372="",B371="",$B$6=""),"",IF(AND(B371&lt;$B$6,B372&gt;=$B$6),A371+($B$6-B371)/(B372-B371)*(A372-A371),""))</f>
        <v/>
      </c>
    </row>
    <row r="373" customFormat="false" ht="15" hidden="false" customHeight="true" outlineLevel="0" collapsed="false">
      <c r="A373" s="33"/>
      <c r="B373" s="33"/>
      <c r="C373" s="34"/>
      <c r="D373" s="30" t="str">
        <f aca="false">IF(OR(A373="",A372="",A373=A372),"",(B373-B372)/(A373-A372))</f>
        <v/>
      </c>
      <c r="E373" s="26" t="str">
        <f aca="false">IF(OR(B373="",B372="",$B$6=""),"",IF(AND(B372&lt;$B$6,B373&gt;=$B$6),A372+($B$6-B372)/(B373-B372)*(A373-A372),""))</f>
        <v/>
      </c>
    </row>
    <row r="374" customFormat="false" ht="15" hidden="false" customHeight="true" outlineLevel="0" collapsed="false">
      <c r="A374" s="33"/>
      <c r="B374" s="33"/>
      <c r="C374" s="34"/>
      <c r="D374" s="30" t="str">
        <f aca="false">IF(OR(A374="",A373="",A374=A373),"",(B374-B373)/(A374-A373))</f>
        <v/>
      </c>
      <c r="E374" s="26" t="str">
        <f aca="false">IF(OR(B374="",B373="",$B$6=""),"",IF(AND(B373&lt;$B$6,B374&gt;=$B$6),A373+($B$6-B373)/(B374-B373)*(A374-A373),""))</f>
        <v/>
      </c>
    </row>
    <row r="375" customFormat="false" ht="15" hidden="false" customHeight="true" outlineLevel="0" collapsed="false">
      <c r="A375" s="33"/>
      <c r="B375" s="33"/>
      <c r="C375" s="34"/>
      <c r="D375" s="30" t="str">
        <f aca="false">IF(OR(A375="",A374="",A375=A374),"",(B375-B374)/(A375-A374))</f>
        <v/>
      </c>
      <c r="E375" s="26" t="str">
        <f aca="false">IF(OR(B375="",B374="",$B$6=""),"",IF(AND(B374&lt;$B$6,B375&gt;=$B$6),A374+($B$6-B374)/(B375-B374)*(A375-A374),""))</f>
        <v/>
      </c>
    </row>
    <row r="376" customFormat="false" ht="15" hidden="false" customHeight="true" outlineLevel="0" collapsed="false">
      <c r="A376" s="33"/>
      <c r="B376" s="33"/>
      <c r="C376" s="34"/>
      <c r="D376" s="30" t="str">
        <f aca="false">IF(OR(A376="",A375="",A376=A375),"",(B376-B375)/(A376-A375))</f>
        <v/>
      </c>
      <c r="E376" s="26" t="str">
        <f aca="false">IF(OR(B376="",B375="",$B$6=""),"",IF(AND(B375&lt;$B$6,B376&gt;=$B$6),A375+($B$6-B375)/(B376-B375)*(A376-A375),""))</f>
        <v/>
      </c>
    </row>
    <row r="377" customFormat="false" ht="15" hidden="false" customHeight="true" outlineLevel="0" collapsed="false">
      <c r="A377" s="33"/>
      <c r="B377" s="33"/>
      <c r="C377" s="34"/>
      <c r="D377" s="30" t="str">
        <f aca="false">IF(OR(A377="",A376="",A377=A376),"",(B377-B376)/(A377-A376))</f>
        <v/>
      </c>
      <c r="E377" s="26" t="str">
        <f aca="false">IF(OR(B377="",B376="",$B$6=""),"",IF(AND(B376&lt;$B$6,B377&gt;=$B$6),A376+($B$6-B376)/(B377-B376)*(A377-A376),""))</f>
        <v/>
      </c>
    </row>
    <row r="378" customFormat="false" ht="15" hidden="false" customHeight="true" outlineLevel="0" collapsed="false">
      <c r="A378" s="33"/>
      <c r="B378" s="33"/>
      <c r="C378" s="34"/>
      <c r="D378" s="30" t="str">
        <f aca="false">IF(OR(A378="",A377="",A378=A377),"",(B378-B377)/(A378-A377))</f>
        <v/>
      </c>
      <c r="E378" s="26" t="str">
        <f aca="false">IF(OR(B378="",B377="",$B$6=""),"",IF(AND(B377&lt;$B$6,B378&gt;=$B$6),A377+($B$6-B377)/(B378-B377)*(A378-A377),""))</f>
        <v/>
      </c>
    </row>
    <row r="379" customFormat="false" ht="15" hidden="false" customHeight="true" outlineLevel="0" collapsed="false">
      <c r="A379" s="33"/>
      <c r="B379" s="33"/>
      <c r="C379" s="34"/>
      <c r="D379" s="30" t="str">
        <f aca="false">IF(OR(A379="",A378="",A379=A378),"",(B379-B378)/(A379-A378))</f>
        <v/>
      </c>
      <c r="E379" s="26" t="str">
        <f aca="false">IF(OR(B379="",B378="",$B$6=""),"",IF(AND(B378&lt;$B$6,B379&gt;=$B$6),A378+($B$6-B378)/(B379-B378)*(A379-A378),""))</f>
        <v/>
      </c>
    </row>
    <row r="380" customFormat="false" ht="15" hidden="false" customHeight="true" outlineLevel="0" collapsed="false">
      <c r="A380" s="33"/>
      <c r="B380" s="33"/>
      <c r="C380" s="34"/>
      <c r="D380" s="30" t="str">
        <f aca="false">IF(OR(A380="",A379="",A380=A379),"",(B380-B379)/(A380-A379))</f>
        <v/>
      </c>
      <c r="E380" s="26" t="str">
        <f aca="false">IF(OR(B380="",B379="",$B$6=""),"",IF(AND(B379&lt;$B$6,B380&gt;=$B$6),A379+($B$6-B379)/(B380-B379)*(A380-A379),""))</f>
        <v/>
      </c>
    </row>
    <row r="381" customFormat="false" ht="15" hidden="false" customHeight="true" outlineLevel="0" collapsed="false">
      <c r="A381" s="33"/>
      <c r="B381" s="33"/>
      <c r="C381" s="34"/>
      <c r="D381" s="30" t="str">
        <f aca="false">IF(OR(A381="",A380="",A381=A380),"",(B381-B380)/(A381-A380))</f>
        <v/>
      </c>
      <c r="E381" s="26" t="str">
        <f aca="false">IF(OR(B381="",B380="",$B$6=""),"",IF(AND(B380&lt;$B$6,B381&gt;=$B$6),A380+($B$6-B380)/(B381-B380)*(A381-A380),""))</f>
        <v/>
      </c>
    </row>
    <row r="382" customFormat="false" ht="15" hidden="false" customHeight="true" outlineLevel="0" collapsed="false">
      <c r="A382" s="33"/>
      <c r="B382" s="33"/>
      <c r="C382" s="34"/>
      <c r="D382" s="30" t="str">
        <f aca="false">IF(OR(A382="",A381="",A382=A381),"",(B382-B381)/(A382-A381))</f>
        <v/>
      </c>
      <c r="E382" s="26" t="str">
        <f aca="false">IF(OR(B382="",B381="",$B$6=""),"",IF(AND(B381&lt;$B$6,B382&gt;=$B$6),A381+($B$6-B381)/(B382-B381)*(A382-A381),""))</f>
        <v/>
      </c>
    </row>
    <row r="383" customFormat="false" ht="15" hidden="false" customHeight="true" outlineLevel="0" collapsed="false">
      <c r="A383" s="33"/>
      <c r="B383" s="33"/>
      <c r="C383" s="34"/>
      <c r="D383" s="30" t="str">
        <f aca="false">IF(OR(A383="",A382="",A383=A382),"",(B383-B382)/(A383-A382))</f>
        <v/>
      </c>
      <c r="E383" s="26" t="str">
        <f aca="false">IF(OR(B383="",B382="",$B$6=""),"",IF(AND(B382&lt;$B$6,B383&gt;=$B$6),A382+($B$6-B382)/(B383-B382)*(A383-A382),""))</f>
        <v/>
      </c>
    </row>
    <row r="384" customFormat="false" ht="15" hidden="false" customHeight="true" outlineLevel="0" collapsed="false">
      <c r="A384" s="33"/>
      <c r="B384" s="33"/>
      <c r="C384" s="34"/>
      <c r="D384" s="30" t="str">
        <f aca="false">IF(OR(A384="",A383="",A384=A383),"",(B384-B383)/(A384-A383))</f>
        <v/>
      </c>
      <c r="E384" s="26" t="str">
        <f aca="false">IF(OR(B384="",B383="",$B$6=""),"",IF(AND(B383&lt;$B$6,B384&gt;=$B$6),A383+($B$6-B383)/(B384-B383)*(A384-A383),""))</f>
        <v/>
      </c>
    </row>
    <row r="385" customFormat="false" ht="15" hidden="false" customHeight="true" outlineLevel="0" collapsed="false">
      <c r="A385" s="33"/>
      <c r="B385" s="33"/>
      <c r="C385" s="34"/>
      <c r="D385" s="30" t="str">
        <f aca="false">IF(OR(A385="",A384="",A385=A384),"",(B385-B384)/(A385-A384))</f>
        <v/>
      </c>
      <c r="E385" s="26" t="str">
        <f aca="false">IF(OR(B385="",B384="",$B$6=""),"",IF(AND(B384&lt;$B$6,B385&gt;=$B$6),A384+($B$6-B384)/(B385-B384)*(A385-A384),""))</f>
        <v/>
      </c>
    </row>
    <row r="386" customFormat="false" ht="15" hidden="false" customHeight="true" outlineLevel="0" collapsed="false">
      <c r="A386" s="33"/>
      <c r="B386" s="33"/>
      <c r="C386" s="34"/>
      <c r="D386" s="30" t="str">
        <f aca="false">IF(OR(A386="",A385="",A386=A385),"",(B386-B385)/(A386-A385))</f>
        <v/>
      </c>
      <c r="E386" s="26" t="str">
        <f aca="false">IF(OR(B386="",B385="",$B$6=""),"",IF(AND(B385&lt;$B$6,B386&gt;=$B$6),A385+($B$6-B385)/(B386-B385)*(A386-A385),""))</f>
        <v/>
      </c>
    </row>
    <row r="387" customFormat="false" ht="15" hidden="false" customHeight="true" outlineLevel="0" collapsed="false">
      <c r="A387" s="33"/>
      <c r="B387" s="33"/>
      <c r="C387" s="34"/>
      <c r="D387" s="30" t="str">
        <f aca="false">IF(OR(A387="",A386="",A387=A386),"",(B387-B386)/(A387-A386))</f>
        <v/>
      </c>
      <c r="E387" s="26" t="str">
        <f aca="false">IF(OR(B387="",B386="",$B$6=""),"",IF(AND(B386&lt;$B$6,B387&gt;=$B$6),A386+($B$6-B386)/(B387-B386)*(A387-A386),""))</f>
        <v/>
      </c>
    </row>
    <row r="388" customFormat="false" ht="15" hidden="false" customHeight="true" outlineLevel="0" collapsed="false">
      <c r="A388" s="33"/>
      <c r="B388" s="33"/>
      <c r="C388" s="34"/>
      <c r="D388" s="30" t="str">
        <f aca="false">IF(OR(A388="",A387="",A388=A387),"",(B388-B387)/(A388-A387))</f>
        <v/>
      </c>
      <c r="E388" s="26" t="str">
        <f aca="false">IF(OR(B388="",B387="",$B$6=""),"",IF(AND(B387&lt;$B$6,B388&gt;=$B$6),A387+($B$6-B387)/(B388-B387)*(A388-A387),""))</f>
        <v/>
      </c>
    </row>
    <row r="389" customFormat="false" ht="15" hidden="false" customHeight="true" outlineLevel="0" collapsed="false">
      <c r="A389" s="33"/>
      <c r="B389" s="33"/>
      <c r="C389" s="34"/>
      <c r="D389" s="30" t="str">
        <f aca="false">IF(OR(A389="",A388="",A389=A388),"",(B389-B388)/(A389-A388))</f>
        <v/>
      </c>
      <c r="E389" s="26" t="str">
        <f aca="false">IF(OR(B389="",B388="",$B$6=""),"",IF(AND(B388&lt;$B$6,B389&gt;=$B$6),A388+($B$6-B388)/(B389-B388)*(A389-A388),""))</f>
        <v/>
      </c>
    </row>
    <row r="390" customFormat="false" ht="15" hidden="false" customHeight="true" outlineLevel="0" collapsed="false">
      <c r="A390" s="33"/>
      <c r="B390" s="33"/>
      <c r="C390" s="34"/>
      <c r="D390" s="30" t="str">
        <f aca="false">IF(OR(A390="",A389="",A390=A389),"",(B390-B389)/(A390-A389))</f>
        <v/>
      </c>
      <c r="E390" s="26" t="str">
        <f aca="false">IF(OR(B390="",B389="",$B$6=""),"",IF(AND(B389&lt;$B$6,B390&gt;=$B$6),A389+($B$6-B389)/(B390-B389)*(A390-A389),""))</f>
        <v/>
      </c>
    </row>
    <row r="391" customFormat="false" ht="15" hidden="false" customHeight="true" outlineLevel="0" collapsed="false">
      <c r="A391" s="33"/>
      <c r="B391" s="33"/>
      <c r="C391" s="34"/>
      <c r="D391" s="30" t="str">
        <f aca="false">IF(OR(A391="",A390="",A391=A390),"",(B391-B390)/(A391-A390))</f>
        <v/>
      </c>
      <c r="E391" s="26" t="str">
        <f aca="false">IF(OR(B391="",B390="",$B$6=""),"",IF(AND(B390&lt;$B$6,B391&gt;=$B$6),A390+($B$6-B390)/(B391-B390)*(A391-A390),""))</f>
        <v/>
      </c>
    </row>
    <row r="392" customFormat="false" ht="15" hidden="false" customHeight="true" outlineLevel="0" collapsed="false">
      <c r="A392" s="33"/>
      <c r="B392" s="33"/>
      <c r="C392" s="34"/>
      <c r="D392" s="30" t="str">
        <f aca="false">IF(OR(A392="",A391="",A392=A391),"",(B392-B391)/(A392-A391))</f>
        <v/>
      </c>
      <c r="E392" s="26" t="str">
        <f aca="false">IF(OR(B392="",B391="",$B$6=""),"",IF(AND(B391&lt;$B$6,B392&gt;=$B$6),A391+($B$6-B391)/(B392-B391)*(A392-A391),""))</f>
        <v/>
      </c>
    </row>
    <row r="393" customFormat="false" ht="15" hidden="false" customHeight="true" outlineLevel="0" collapsed="false">
      <c r="A393" s="33"/>
      <c r="B393" s="33"/>
      <c r="C393" s="34"/>
      <c r="D393" s="30" t="str">
        <f aca="false">IF(OR(A393="",A392="",A393=A392),"",(B393-B392)/(A393-A392))</f>
        <v/>
      </c>
      <c r="E393" s="26" t="str">
        <f aca="false">IF(OR(B393="",B392="",$B$6=""),"",IF(AND(B392&lt;$B$6,B393&gt;=$B$6),A392+($B$6-B392)/(B393-B392)*(A393-A392),""))</f>
        <v/>
      </c>
    </row>
    <row r="394" customFormat="false" ht="15" hidden="false" customHeight="true" outlineLevel="0" collapsed="false">
      <c r="A394" s="33"/>
      <c r="B394" s="33"/>
      <c r="C394" s="34"/>
      <c r="D394" s="30" t="str">
        <f aca="false">IF(OR(A394="",A393="",A394=A393),"",(B394-B393)/(A394-A393))</f>
        <v/>
      </c>
      <c r="E394" s="26" t="str">
        <f aca="false">IF(OR(B394="",B393="",$B$6=""),"",IF(AND(B393&lt;$B$6,B394&gt;=$B$6),A393+($B$6-B393)/(B394-B393)*(A394-A393),""))</f>
        <v/>
      </c>
    </row>
    <row r="395" customFormat="false" ht="15" hidden="false" customHeight="true" outlineLevel="0" collapsed="false">
      <c r="A395" s="33"/>
      <c r="B395" s="33"/>
      <c r="C395" s="34"/>
      <c r="D395" s="30" t="str">
        <f aca="false">IF(OR(A395="",A394="",A395=A394),"",(B395-B394)/(A395-A394))</f>
        <v/>
      </c>
      <c r="E395" s="26" t="str">
        <f aca="false">IF(OR(B395="",B394="",$B$6=""),"",IF(AND(B394&lt;$B$6,B395&gt;=$B$6),A394+($B$6-B394)/(B395-B394)*(A395-A394),""))</f>
        <v/>
      </c>
    </row>
    <row r="396" customFormat="false" ht="15" hidden="false" customHeight="true" outlineLevel="0" collapsed="false">
      <c r="A396" s="33"/>
      <c r="B396" s="33"/>
      <c r="C396" s="34"/>
      <c r="D396" s="30" t="str">
        <f aca="false">IF(OR(A396="",A395="",A396=A395),"",(B396-B395)/(A396-A395))</f>
        <v/>
      </c>
      <c r="E396" s="26" t="str">
        <f aca="false">IF(OR(B396="",B395="",$B$6=""),"",IF(AND(B395&lt;$B$6,B396&gt;=$B$6),A395+($B$6-B395)/(B396-B395)*(A396-A395),""))</f>
        <v/>
      </c>
    </row>
    <row r="397" customFormat="false" ht="15" hidden="false" customHeight="true" outlineLevel="0" collapsed="false">
      <c r="A397" s="33"/>
      <c r="B397" s="33"/>
      <c r="C397" s="34"/>
      <c r="D397" s="30" t="str">
        <f aca="false">IF(OR(A397="",A396="",A397=A396),"",(B397-B396)/(A397-A396))</f>
        <v/>
      </c>
      <c r="E397" s="26" t="str">
        <f aca="false">IF(OR(B397="",B396="",$B$6=""),"",IF(AND(B396&lt;$B$6,B397&gt;=$B$6),A396+($B$6-B396)/(B397-B396)*(A397-A396),""))</f>
        <v/>
      </c>
    </row>
    <row r="398" customFormat="false" ht="15" hidden="false" customHeight="true" outlineLevel="0" collapsed="false">
      <c r="A398" s="33"/>
      <c r="B398" s="33"/>
      <c r="C398" s="34"/>
      <c r="D398" s="30" t="str">
        <f aca="false">IF(OR(A398="",A397="",A398=A397),"",(B398-B397)/(A398-A397))</f>
        <v/>
      </c>
      <c r="E398" s="26" t="str">
        <f aca="false">IF(OR(B398="",B397="",$B$6=""),"",IF(AND(B397&lt;$B$6,B398&gt;=$B$6),A397+($B$6-B397)/(B398-B397)*(A398-A397),""))</f>
        <v/>
      </c>
    </row>
    <row r="399" customFormat="false" ht="15" hidden="false" customHeight="true" outlineLevel="0" collapsed="false">
      <c r="A399" s="33"/>
      <c r="B399" s="33"/>
      <c r="C399" s="34"/>
      <c r="D399" s="30" t="str">
        <f aca="false">IF(OR(A399="",A398="",A399=A398),"",(B399-B398)/(A399-A398))</f>
        <v/>
      </c>
      <c r="E399" s="26" t="str">
        <f aca="false">IF(OR(B399="",B398="",$B$6=""),"",IF(AND(B398&lt;$B$6,B399&gt;=$B$6),A398+($B$6-B398)/(B399-B398)*(A399-A398),""))</f>
        <v/>
      </c>
    </row>
    <row r="400" customFormat="false" ht="15" hidden="false" customHeight="true" outlineLevel="0" collapsed="false">
      <c r="A400" s="33"/>
      <c r="B400" s="33"/>
      <c r="C400" s="34"/>
      <c r="D400" s="30" t="str">
        <f aca="false">IF(OR(A400="",A399="",A400=A399),"",(B400-B399)/(A400-A399))</f>
        <v/>
      </c>
      <c r="E400" s="26" t="str">
        <f aca="false">IF(OR(B400="",B399="",$B$6=""),"",IF(AND(B399&lt;$B$6,B400&gt;=$B$6),A399+($B$6-B399)/(B400-B399)*(A400-A399),""))</f>
        <v/>
      </c>
    </row>
    <row r="401" customFormat="false" ht="15" hidden="false" customHeight="true" outlineLevel="0" collapsed="false">
      <c r="A401" s="33"/>
      <c r="B401" s="33"/>
      <c r="C401" s="34"/>
      <c r="D401" s="30" t="str">
        <f aca="false">IF(OR(A401="",A400="",A401=A400),"",(B401-B400)/(A401-A400))</f>
        <v/>
      </c>
      <c r="E401" s="26" t="str">
        <f aca="false">IF(OR(B401="",B400="",$B$6=""),"",IF(AND(B400&lt;$B$6,B401&gt;=$B$6),A400+($B$6-B400)/(B401-B400)*(A401-A400),""))</f>
        <v/>
      </c>
    </row>
    <row r="402" customFormat="false" ht="15" hidden="false" customHeight="true" outlineLevel="0" collapsed="false">
      <c r="A402" s="33"/>
      <c r="B402" s="33"/>
      <c r="C402" s="34"/>
      <c r="D402" s="30" t="str">
        <f aca="false">IF(OR(A402="",A401="",A402=A401),"",(B402-B401)/(A402-A401))</f>
        <v/>
      </c>
      <c r="E402" s="26" t="str">
        <f aca="false">IF(OR(B402="",B401="",$B$6=""),"",IF(AND(B401&lt;$B$6,B402&gt;=$B$6),A401+($B$6-B401)/(B402-B401)*(A402-A401),""))</f>
        <v/>
      </c>
    </row>
    <row r="403" customFormat="false" ht="15" hidden="false" customHeight="true" outlineLevel="0" collapsed="false">
      <c r="A403" s="33"/>
      <c r="B403" s="33"/>
      <c r="C403" s="34"/>
      <c r="D403" s="30" t="str">
        <f aca="false">IF(OR(A403="",A402="",A403=A402),"",(B403-B402)/(A403-A402))</f>
        <v/>
      </c>
      <c r="E403" s="26" t="str">
        <f aca="false">IF(OR(B403="",B402="",$B$6=""),"",IF(AND(B402&lt;$B$6,B403&gt;=$B$6),A402+($B$6-B402)/(B403-B402)*(A403-A402),""))</f>
        <v/>
      </c>
    </row>
    <row r="404" customFormat="false" ht="15" hidden="false" customHeight="true" outlineLevel="0" collapsed="false">
      <c r="A404" s="33"/>
      <c r="B404" s="33"/>
      <c r="C404" s="34"/>
      <c r="D404" s="30" t="str">
        <f aca="false">IF(OR(A404="",A403="",A404=A403),"",(B404-B403)/(A404-A403))</f>
        <v/>
      </c>
      <c r="E404" s="26" t="str">
        <f aca="false">IF(OR(B404="",B403="",$B$6=""),"",IF(AND(B403&lt;$B$6,B404&gt;=$B$6),A403+($B$6-B403)/(B404-B403)*(A404-A403),""))</f>
        <v/>
      </c>
    </row>
    <row r="405" customFormat="false" ht="15" hidden="false" customHeight="true" outlineLevel="0" collapsed="false">
      <c r="A405" s="33"/>
      <c r="B405" s="33"/>
      <c r="C405" s="34"/>
      <c r="D405" s="30" t="str">
        <f aca="false">IF(OR(A405="",A404="",A405=A404),"",(B405-B404)/(A405-A404))</f>
        <v/>
      </c>
      <c r="E405" s="26" t="str">
        <f aca="false">IF(OR(B405="",B404="",$B$6=""),"",IF(AND(B404&lt;$B$6,B405&gt;=$B$6),A404+($B$6-B404)/(B405-B404)*(A405-A404),""))</f>
        <v/>
      </c>
    </row>
    <row r="406" customFormat="false" ht="15" hidden="false" customHeight="true" outlineLevel="0" collapsed="false">
      <c r="A406" s="33"/>
      <c r="B406" s="33"/>
      <c r="C406" s="34"/>
      <c r="D406" s="30" t="str">
        <f aca="false">IF(OR(A406="",A405="",A406=A405),"",(B406-B405)/(A406-A405))</f>
        <v/>
      </c>
      <c r="E406" s="26" t="str">
        <f aca="false">IF(OR(B406="",B405="",$B$6=""),"",IF(AND(B405&lt;$B$6,B406&gt;=$B$6),A405+($B$6-B405)/(B406-B405)*(A406-A405),""))</f>
        <v/>
      </c>
    </row>
    <row r="407" customFormat="false" ht="15" hidden="false" customHeight="true" outlineLevel="0" collapsed="false">
      <c r="A407" s="33"/>
      <c r="B407" s="33"/>
      <c r="C407" s="34"/>
      <c r="D407" s="30" t="str">
        <f aca="false">IF(OR(A407="",A406="",A407=A406),"",(B407-B406)/(A407-A406))</f>
        <v/>
      </c>
      <c r="E407" s="26" t="str">
        <f aca="false">IF(OR(B407="",B406="",$B$6=""),"",IF(AND(B406&lt;$B$6,B407&gt;=$B$6),A406+($B$6-B406)/(B407-B406)*(A407-A406),""))</f>
        <v/>
      </c>
    </row>
    <row r="408" customFormat="false" ht="15" hidden="false" customHeight="true" outlineLevel="0" collapsed="false">
      <c r="A408" s="33"/>
      <c r="B408" s="33"/>
      <c r="C408" s="34"/>
      <c r="D408" s="30" t="str">
        <f aca="false">IF(OR(A408="",A407="",A408=A407),"",(B408-B407)/(A408-A407))</f>
        <v/>
      </c>
      <c r="E408" s="26" t="str">
        <f aca="false">IF(OR(B408="",B407="",$B$6=""),"",IF(AND(B407&lt;$B$6,B408&gt;=$B$6),A407+($B$6-B407)/(B408-B407)*(A408-A407),""))</f>
        <v/>
      </c>
    </row>
    <row r="409" customFormat="false" ht="15" hidden="false" customHeight="true" outlineLevel="0" collapsed="false">
      <c r="A409" s="33"/>
      <c r="B409" s="33"/>
      <c r="C409" s="34"/>
      <c r="D409" s="30" t="str">
        <f aca="false">IF(OR(A409="",A408="",A409=A408),"",(B409-B408)/(A409-A408))</f>
        <v/>
      </c>
      <c r="E409" s="26" t="str">
        <f aca="false">IF(OR(B409="",B408="",$B$6=""),"",IF(AND(B408&lt;$B$6,B409&gt;=$B$6),A408+($B$6-B408)/(B409-B408)*(A409-A408),""))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2026-09-30T23:18:07Z</dcterms:created>
  <dc:creator>openpyxl</dc:creator>
  <dc:description/>
  <dc:language>en-US</dc:language>
  <cp:lastModifiedBy/>
  <dcterms:modified xsi:type="dcterms:W3CDTF">2026-09-30T23:36:12Z</dcterms:modified>
  <cp:revision>2</cp:revision>
  <dc:subject/>
  <dc:title>Test Plan &amp; Measurement Series – Napoleon</dc:title>
</cp:coreProperties>
</file>

<file path=docProps/custom.xml><?xml version="1.0" encoding="utf-8"?>
<Properties xmlns="http://schemas.openxmlformats.org/officeDocument/2006/custom-properties" xmlns:vt="http://schemas.openxmlformats.org/officeDocument/2006/docPropsVTypes"/>
</file>